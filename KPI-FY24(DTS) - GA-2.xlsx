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D:\000_ATTHI_DONT_DELETE\001_@WORK\002 SaudiEDI\001 PROJECT_DOCS\019 KRAs\FY2024\"/>
    </mc:Choice>
  </mc:AlternateContent>
  <xr:revisionPtr revIDLastSave="0" documentId="13_ncr:1_{65A2C643-024D-4D0E-AC9B-D171FE6307C4}" xr6:coauthVersionLast="47" xr6:coauthVersionMax="47" xr10:uidLastSave="{00000000-0000-0000-0000-000000000000}"/>
  <bookViews>
    <workbookView xWindow="-108" yWindow="-108" windowWidth="23256" windowHeight="12456" xr2:uid="{6FE91165-05C8-4FE4-9FAE-0DA37CCD8EA5}"/>
  </bookViews>
  <sheets>
    <sheet name="GA-2" sheetId="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7" i="4" l="1"/>
  <c r="C13" i="4"/>
  <c r="C8" i="4"/>
  <c r="C5" i="4"/>
  <c r="C19" i="4" l="1"/>
</calcChain>
</file>

<file path=xl/sharedStrings.xml><?xml version="1.0" encoding="utf-8"?>
<sst xmlns="http://schemas.openxmlformats.org/spreadsheetml/2006/main" count="47" uniqueCount="46">
  <si>
    <t>FINANCIAL</t>
  </si>
  <si>
    <t>SUB-WEIGHTAGE</t>
  </si>
  <si>
    <t>KPIS</t>
  </si>
  <si>
    <t>TARGET</t>
  </si>
  <si>
    <t>STRETCH</t>
  </si>
  <si>
    <t>≥95%</t>
  </si>
  <si>
    <t>Group Revenue</t>
  </si>
  <si>
    <t>PORTFOLIO</t>
  </si>
  <si>
    <t>Customer satisfaction score</t>
  </si>
  <si>
    <t>PROCESS</t>
  </si>
  <si>
    <t>PEOPLE</t>
  </si>
  <si>
    <t>% of staff with at least 16 hours of job-specific training</t>
  </si>
  <si>
    <t>≥90%, &lt;92.5%</t>
  </si>
  <si>
    <t>Continuity of maintenance contract</t>
  </si>
  <si>
    <t>≥ $154.800M</t>
  </si>
  <si>
    <t>≥ $161.766M</t>
  </si>
  <si>
    <t>How to achieve the Target?</t>
  </si>
  <si>
    <t>Group Operating Profit</t>
  </si>
  <si>
    <t>≥ $0.200M</t>
  </si>
  <si>
    <t>≥ $1.000M</t>
  </si>
  <si>
    <t>≥ 4.000</t>
  </si>
  <si>
    <t>≥ 4.200</t>
  </si>
  <si>
    <t>% of Key Development Projects on Schedule </t>
  </si>
  <si>
    <t>≥ 85%</t>
  </si>
  <si>
    <t>≥ 95%</t>
  </si>
  <si>
    <t>Implementation Quality </t>
  </si>
  <si>
    <t>≥ 88%</t>
  </si>
  <si>
    <t>(Defect Removal Efficiency) </t>
  </si>
  <si>
    <r>
      <rPr>
        <b/>
        <i/>
        <sz val="9"/>
        <color theme="1"/>
        <rFont val="Century Gothic"/>
        <family val="2"/>
      </rPr>
      <t>Defect Removal Efficiency (DRE)</t>
    </r>
    <r>
      <rPr>
        <i/>
        <sz val="9"/>
        <color theme="1"/>
        <rFont val="Century Gothic"/>
        <family val="2"/>
      </rPr>
      <t xml:space="preserve"> is the percentage of defects reported by CL out of the total number of reported defects, inclusive of those reported by customers. This quality performance indicator gauges the effectiveness of testing and the capability to identify and address defects before involving the customer in the testing process (e.g. UAT, Pre-Prod &amp; Prod).
</t>
    </r>
    <r>
      <rPr>
        <sz val="9"/>
        <color theme="1"/>
        <rFont val="Century Gothic"/>
        <family val="2"/>
      </rPr>
      <t>1. All the developers to own the testing of their modules as part of team's SIT and furnish the results before releasing it to testing by VAV or UAT. 
2. Ensure to meet the minimum pass criteria for SIT &amp; UAT and ensure the results pass the criteria consistently.</t>
    </r>
  </si>
  <si>
    <t>QMS - process compliance / ISMS</t>
  </si>
  <si>
    <t>Productivity</t>
  </si>
  <si>
    <t>≥ 1.536</t>
  </si>
  <si>
    <t>≥ 1.689</t>
  </si>
  <si>
    <t>Remarks</t>
  </si>
  <si>
    <t xml:space="preserve">Number of PM/Technical certifications </t>
  </si>
  <si>
    <t>≥ 60</t>
  </si>
  <si>
    <t>≥ 80</t>
  </si>
  <si>
    <t>1. Target to attain a certification in Agile/Technical that adds value to the project and your personal career</t>
  </si>
  <si>
    <r>
      <t>1. On-time development, implementation and delivery of all the contracted M&amp;S, CMP deliverables, DBRE (remaining) and other Paid CRs.</t>
    </r>
    <r>
      <rPr>
        <i/>
        <sz val="9"/>
        <color theme="1"/>
        <rFont val="Century Gothic"/>
        <family val="2"/>
      </rPr>
      <t xml:space="preserve">
</t>
    </r>
    <r>
      <rPr>
        <sz val="9"/>
        <color theme="1"/>
        <rFont val="Century Gothic"/>
        <family val="2"/>
      </rPr>
      <t>2. No project delays attributable to company. 
3. Quickly adopt to the new technology stack and implement with atmost quality.
4. Control Cost by developing extensible/reusable/configurable code
5. Assist PM/PL/Onsite team to achieve project milestones/CR revenues as projected.</t>
    </r>
  </si>
  <si>
    <t>1. Reusability of the code/functionality across projects.
2. Adopt automation where possible.
3. Usage of AI tools like Github Co-Pilot.
4. Manage mutiple work items/CRs/Defects in parallel.
5. Share lessons learnt and best practices with the team.
6. Contribute to organizational innovation and growth.</t>
  </si>
  <si>
    <t xml:space="preserve">1. Should understand and target to achieve the Customer Satisfaction Index, as set by the Organization
2. Ensure that the PM/PL is regularly updated about the progress of the deliverables.
3. Escalate to the PM/PL early on any hurdle which comes in while meeting any milestone/deadline
4. Actively support the team, target to clear all level L2, L3 support tickets within defined timeframe. 
5. Monitor Ticket and ensure that they are updated and maintained with latest information in VSTS.
6. Ensure that the deliverables are properly tested and verified, before deploying in SIT/UAT, to ensure bug free releases. 
7. Zero Major defect and not more than one medium defect for the UAT of deliverables. </t>
  </si>
  <si>
    <r>
      <t xml:space="preserve">QMS is an integral part of the project delivery, the developers must ensure:
</t>
    </r>
    <r>
      <rPr>
        <sz val="9"/>
        <color theme="1"/>
        <rFont val="Century Gothic"/>
        <family val="2"/>
      </rPr>
      <t xml:space="preserve">1. Respective project documentations are kept up-to-date.
2. Assist PL in raising the tickets and get it tracked on-time in VSTS until closure
3. All internal and external audits should achieve minimally </t>
    </r>
    <r>
      <rPr>
        <u/>
        <sz val="9"/>
        <color theme="1"/>
        <rFont val="Century Gothic"/>
        <family val="2"/>
      </rPr>
      <t>satisfactory</t>
    </r>
    <r>
      <rPr>
        <sz val="9"/>
        <color theme="1"/>
        <rFont val="Century Gothic"/>
        <family val="2"/>
      </rPr>
      <t xml:space="preserve"> </t>
    </r>
  </si>
  <si>
    <t>Quality deliverables is the defacto parameter which is non-negotiable.
1. All the developers must ensure the quality of the deliverables is not compromised, they must ensure:
a. The requirements are well traced.
b. Test specifications are written in accordance to the requirement, uploaded in VSTS for the respective workitem, get it reviewed and validated.
c. The technical implementation is done keeping the Java coding best practices in consideration.
d. The deliverables are well tested and the code and the dependecies are self reviewed before raising the PRs.
e. The deliverables shouldn't have critical, blocker and major issues.</t>
  </si>
  <si>
    <t>1. Actively support the team to ensure successful renewal and continuity of the maintenance contract.</t>
  </si>
  <si>
    <t>On-time delivery of the project is the key element to attain project success and Customer satisfaction. Ensure that the tasks assigned is completed on time and with acceptable quality.
1. Clear understanding of Customer's requirements.
2. Tasks, should be clearly defined and tracked in VSTS until closure.
3. Ensure unit, SIT testing is performed with proper test specifications and test results are furnished and get reviewed . 
4. Support PM/PL in attaining zero Major non-conformance or &lt;= 5 minor non-conformance for all audits of the projects.
5. Improvements respectively through the use of tools and the best practices for coding with a view:
    a.   Doing things right the first time, minimizing rework
    b.   Minimize post-deployment induced production issues.
    c.   Ensure the work follow shift-left approach to improve quality.
    d.   Ensure source code is scanned through Sonar qube, Fortify/Web inspect/YourKit before migrated to production to lower the security risk and ascertain perfomance.</t>
  </si>
  <si>
    <t>1. Ensure that you complete 16 hrs+ of training in this FY. 
2. Ensure that you get trained on CL products where applicable.
3. Highlight to the PM/PL if needs any specific training(s).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</si>
</sst>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8"/>
      <name val="Arial"/>
      <family val="2"/>
    </font>
    <font>
      <sz val="9"/>
      <color rgb="FF000000"/>
      <name val="Century Gothic"/>
      <family val="2"/>
    </font>
    <font>
      <b/>
      <sz val="10"/>
      <color rgb="FFF2F2F2"/>
      <name val="Century Gothic"/>
      <family val="2"/>
    </font>
    <font>
      <b/>
      <sz val="9"/>
      <color rgb="FFF2F2F2"/>
      <name val="Century Gothic"/>
      <family val="2"/>
    </font>
    <font>
      <sz val="9"/>
      <color theme="1"/>
      <name val="Century Gothic"/>
      <family val="2"/>
    </font>
    <font>
      <sz val="9"/>
      <name val="Arial"/>
      <family val="2"/>
    </font>
    <font>
      <b/>
      <sz val="10"/>
      <color rgb="FFFFFFFF"/>
      <name val="Century Gothic"/>
      <family val="2"/>
    </font>
    <font>
      <b/>
      <i/>
      <sz val="9"/>
      <color rgb="FF000000"/>
      <name val="Century Gothic"/>
      <family val="2"/>
    </font>
    <font>
      <b/>
      <sz val="11"/>
      <color theme="0"/>
      <name val="Century Gothic"/>
      <family val="2"/>
    </font>
    <font>
      <i/>
      <sz val="9"/>
      <color theme="1"/>
      <name val="Century Gothic"/>
      <family val="2"/>
    </font>
    <font>
      <b/>
      <i/>
      <sz val="9"/>
      <color theme="1"/>
      <name val="Century Gothic"/>
      <family val="2"/>
    </font>
    <font>
      <u/>
      <sz val="9"/>
      <color theme="1"/>
      <name val="Century Gothic"/>
      <family val="2"/>
    </font>
    <font>
      <b/>
      <i/>
      <sz val="14"/>
      <color rgb="FF000000"/>
      <name val="Century Gothic"/>
      <family val="2"/>
    </font>
  </fonts>
  <fills count="14">
    <fill>
      <patternFill patternType="none"/>
    </fill>
    <fill>
      <patternFill patternType="gray125"/>
    </fill>
    <fill>
      <patternFill patternType="solid">
        <fgColor rgb="FF262626"/>
        <bgColor indexed="64"/>
      </patternFill>
    </fill>
    <fill>
      <patternFill patternType="solid">
        <fgColor theme="9"/>
        <bgColor indexed="64"/>
      </patternFill>
    </fill>
    <fill>
      <patternFill patternType="solid">
        <fgColor rgb="FFED7D31"/>
        <bgColor indexed="64"/>
      </patternFill>
    </fill>
    <fill>
      <patternFill patternType="solid">
        <fgColor rgb="FFFDF6F4"/>
        <bgColor indexed="64"/>
      </patternFill>
    </fill>
    <fill>
      <patternFill patternType="solid">
        <fgColor rgb="FFE7E6E6"/>
        <bgColor indexed="64"/>
      </patternFill>
    </fill>
    <fill>
      <patternFill patternType="solid">
        <fgColor rgb="FF7F7F7F"/>
        <bgColor indexed="64"/>
      </patternFill>
    </fill>
    <fill>
      <patternFill patternType="solid">
        <fgColor rgb="FFF6F6F6"/>
        <bgColor indexed="64"/>
      </patternFill>
    </fill>
    <fill>
      <patternFill patternType="solid">
        <fgColor rgb="FFFFC000"/>
        <bgColor indexed="64"/>
      </patternFill>
    </fill>
    <fill>
      <patternFill patternType="solid">
        <fgColor rgb="FFFFFAF3"/>
        <bgColor indexed="64"/>
      </patternFill>
    </fill>
    <fill>
      <patternFill patternType="solid">
        <fgColor rgb="FF0070C0"/>
        <bgColor indexed="64"/>
      </patternFill>
    </fill>
    <fill>
      <patternFill patternType="solid">
        <fgColor rgb="FFF3F5FA"/>
        <bgColor indexed="64"/>
      </patternFill>
    </fill>
    <fill>
      <patternFill patternType="solid">
        <fgColor rgb="FFF3F5FA"/>
        <bgColor rgb="FF000000"/>
      </patternFill>
    </fill>
  </fills>
  <borders count="18">
    <border>
      <left/>
      <right/>
      <top/>
      <bottom/>
      <diagonal/>
    </border>
    <border>
      <left/>
      <right/>
      <top/>
      <bottom style="thin">
        <color rgb="FFBFBFBF"/>
      </bottom>
      <diagonal/>
    </border>
    <border>
      <left/>
      <right style="thin">
        <color rgb="FFBFBFBF"/>
      </right>
      <top/>
      <bottom/>
      <diagonal/>
    </border>
    <border>
      <left/>
      <right style="thin">
        <color rgb="FFD0CECE"/>
      </right>
      <top style="thin">
        <color rgb="FFBFBFBF"/>
      </top>
      <bottom style="thin">
        <color rgb="FFD0CECE"/>
      </bottom>
      <diagonal/>
    </border>
    <border>
      <left style="thin">
        <color rgb="FFD0CECE"/>
      </left>
      <right style="thin">
        <color rgb="FFD0CECE"/>
      </right>
      <top style="thin">
        <color rgb="FFBFBFBF"/>
      </top>
      <bottom style="thin">
        <color rgb="FFD0CECE"/>
      </bottom>
      <diagonal/>
    </border>
    <border>
      <left style="thin">
        <color rgb="FFD0CECE"/>
      </left>
      <right/>
      <top/>
      <bottom/>
      <diagonal/>
    </border>
    <border>
      <left/>
      <right style="thin">
        <color rgb="FFD0CECE"/>
      </right>
      <top style="thin">
        <color rgb="FFD0CECE"/>
      </top>
      <bottom/>
      <diagonal/>
    </border>
    <border>
      <left style="thin">
        <color rgb="FFD0CECE"/>
      </left>
      <right style="thin">
        <color rgb="FFD0CECE"/>
      </right>
      <top style="thin">
        <color rgb="FFD0CECE"/>
      </top>
      <bottom/>
      <diagonal/>
    </border>
    <border>
      <left/>
      <right style="thin">
        <color rgb="FFD0CECE"/>
      </right>
      <top/>
      <bottom style="thin">
        <color rgb="FFD0CECE"/>
      </bottom>
      <diagonal/>
    </border>
    <border>
      <left style="thin">
        <color rgb="FFD0CECE"/>
      </left>
      <right style="thin">
        <color rgb="FFD0CECE"/>
      </right>
      <top/>
      <bottom style="thin">
        <color rgb="FFD0CECE"/>
      </bottom>
      <diagonal/>
    </border>
    <border>
      <left style="thin">
        <color rgb="FFFDF2EA"/>
      </left>
      <right style="thin">
        <color rgb="FFD0CECE"/>
      </right>
      <top style="thin">
        <color rgb="FFD0CECE"/>
      </top>
      <bottom style="thin">
        <color rgb="FFD0CECE"/>
      </bottom>
      <diagonal/>
    </border>
    <border>
      <left style="thin">
        <color rgb="FFD0CECE"/>
      </left>
      <right style="thin">
        <color rgb="FFD0CECE"/>
      </right>
      <top style="thin">
        <color rgb="FFD0CECE"/>
      </top>
      <bottom style="thin">
        <color rgb="FFD0CECE"/>
      </bottom>
      <diagonal/>
    </border>
    <border>
      <left/>
      <right style="thin">
        <color rgb="FFD0CECE"/>
      </right>
      <top style="thin">
        <color rgb="FFD0CECE"/>
      </top>
      <bottom style="thin">
        <color rgb="FFD0CECE"/>
      </bottom>
      <diagonal/>
    </border>
    <border>
      <left/>
      <right style="thin">
        <color rgb="FFE7E6E6"/>
      </right>
      <top/>
      <bottom/>
      <diagonal/>
    </border>
    <border>
      <left style="thin">
        <color rgb="FFE7E6E6"/>
      </left>
      <right style="thin">
        <color rgb="FFE7E6E6"/>
      </right>
      <top/>
      <bottom style="thin">
        <color rgb="FFBFBFBF"/>
      </bottom>
      <diagonal/>
    </border>
    <border>
      <left/>
      <right style="medium">
        <color rgb="FFD9D9D9"/>
      </right>
      <top/>
      <bottom/>
      <diagonal/>
    </border>
    <border>
      <left style="thin">
        <color rgb="FFE7E6E6"/>
      </left>
      <right style="thin">
        <color rgb="FFE7E6E6"/>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4">
    <xf numFmtId="0" fontId="0" fillId="0" borderId="0" xfId="0"/>
    <xf numFmtId="9" fontId="2" fillId="5" borderId="4" xfId="0" applyNumberFormat="1" applyFont="1" applyFill="1" applyBorder="1" applyAlignment="1">
      <alignment horizontal="center" vertical="center" wrapText="1" readingOrder="1"/>
    </xf>
    <xf numFmtId="0" fontId="2" fillId="5" borderId="4" xfId="0" applyFont="1" applyFill="1" applyBorder="1" applyAlignment="1">
      <alignment horizontal="center" vertical="center" wrapText="1" readingOrder="1"/>
    </xf>
    <xf numFmtId="0" fontId="2" fillId="5" borderId="10" xfId="0" applyFont="1" applyFill="1" applyBorder="1" applyAlignment="1">
      <alignment horizontal="left" vertical="center" wrapText="1" indent="1" readingOrder="1"/>
    </xf>
    <xf numFmtId="9" fontId="2" fillId="5" borderId="11" xfId="0" applyNumberFormat="1" applyFont="1" applyFill="1" applyBorder="1" applyAlignment="1">
      <alignment horizontal="center" vertical="center" wrapText="1" readingOrder="1"/>
    </xf>
    <xf numFmtId="0" fontId="2" fillId="5" borderId="6" xfId="0" applyFont="1" applyFill="1" applyBorder="1" applyAlignment="1">
      <alignment horizontal="left" vertical="center" wrapText="1" indent="1" readingOrder="1"/>
    </xf>
    <xf numFmtId="49" fontId="5" fillId="0" borderId="5" xfId="0" quotePrefix="1" applyNumberFormat="1" applyFont="1" applyBorder="1" applyAlignment="1">
      <alignment vertical="top" wrapText="1"/>
    </xf>
    <xf numFmtId="0" fontId="4" fillId="6" borderId="13" xfId="0" applyFont="1" applyFill="1" applyBorder="1" applyAlignment="1">
      <alignment horizontal="center" vertical="center" textRotation="90" wrapText="1" readingOrder="1"/>
    </xf>
    <xf numFmtId="0" fontId="2" fillId="6" borderId="14" xfId="0" applyFont="1" applyFill="1" applyBorder="1" applyAlignment="1">
      <alignment horizontal="left" vertical="center" wrapText="1" indent="1" readingOrder="1"/>
    </xf>
    <xf numFmtId="0" fontId="6" fillId="6" borderId="14" xfId="0" applyFont="1" applyFill="1" applyBorder="1" applyAlignment="1">
      <alignment horizontal="center" vertical="center" wrapText="1"/>
    </xf>
    <xf numFmtId="0" fontId="1" fillId="6" borderId="0" xfId="0" applyFont="1" applyFill="1" applyAlignment="1">
      <alignment horizontal="center" vertical="center" wrapText="1"/>
    </xf>
    <xf numFmtId="0" fontId="2" fillId="8" borderId="3" xfId="0" applyFont="1" applyFill="1" applyBorder="1" applyAlignment="1">
      <alignment horizontal="left" vertical="center" wrapText="1" indent="1" readingOrder="1"/>
    </xf>
    <xf numFmtId="9" fontId="2" fillId="8" borderId="4" xfId="0" applyNumberFormat="1" applyFont="1" applyFill="1" applyBorder="1" applyAlignment="1">
      <alignment horizontal="center" vertical="center" wrapText="1" readingOrder="1"/>
    </xf>
    <xf numFmtId="0" fontId="2" fillId="10" borderId="3" xfId="0" applyFont="1" applyFill="1" applyBorder="1" applyAlignment="1">
      <alignment horizontal="left" vertical="center" wrapText="1" indent="1" readingOrder="1"/>
    </xf>
    <xf numFmtId="0" fontId="2" fillId="10" borderId="4" xfId="0" applyFont="1" applyFill="1" applyBorder="1" applyAlignment="1">
      <alignment horizontal="center" vertical="center" wrapText="1" readingOrder="1"/>
    </xf>
    <xf numFmtId="0" fontId="2" fillId="10" borderId="12" xfId="0" applyFont="1" applyFill="1" applyBorder="1" applyAlignment="1">
      <alignment horizontal="left" vertical="center" wrapText="1" indent="1" readingOrder="1"/>
    </xf>
    <xf numFmtId="9" fontId="2" fillId="10" borderId="11" xfId="0" applyNumberFormat="1" applyFont="1" applyFill="1" applyBorder="1" applyAlignment="1">
      <alignment horizontal="center" vertical="center" wrapText="1" readingOrder="1"/>
    </xf>
    <xf numFmtId="0" fontId="2" fillId="6" borderId="16" xfId="0" applyFont="1" applyFill="1" applyBorder="1" applyAlignment="1">
      <alignment horizontal="left" wrapText="1" indent="1" readingOrder="1"/>
    </xf>
    <xf numFmtId="0" fontId="6" fillId="6" borderId="16" xfId="0" applyFont="1" applyFill="1" applyBorder="1" applyAlignment="1">
      <alignment wrapText="1"/>
    </xf>
    <xf numFmtId="49" fontId="5" fillId="0" borderId="0" xfId="0" applyNumberFormat="1" applyFont="1" applyAlignment="1">
      <alignment vertical="top" wrapText="1"/>
    </xf>
    <xf numFmtId="0" fontId="2" fillId="12" borderId="8" xfId="0" applyFont="1" applyFill="1" applyBorder="1" applyAlignment="1">
      <alignment horizontal="left" vertical="center" wrapText="1" indent="1" readingOrder="1"/>
    </xf>
    <xf numFmtId="9" fontId="2" fillId="12" borderId="9" xfId="0" applyNumberFormat="1" applyFont="1" applyFill="1" applyBorder="1" applyAlignment="1">
      <alignment horizontal="center" vertical="center" wrapText="1" readingOrder="1"/>
    </xf>
    <xf numFmtId="0" fontId="2" fillId="12" borderId="9" xfId="0" applyFont="1" applyFill="1" applyBorder="1" applyAlignment="1">
      <alignment horizontal="center" vertical="center" wrapText="1" readingOrder="1"/>
    </xf>
    <xf numFmtId="9" fontId="8" fillId="6" borderId="14" xfId="0" applyNumberFormat="1" applyFont="1" applyFill="1" applyBorder="1" applyAlignment="1">
      <alignment horizontal="center" vertical="center" wrapText="1" readingOrder="1"/>
    </xf>
    <xf numFmtId="49" fontId="5" fillId="0" borderId="0" xfId="0" quotePrefix="1" applyNumberFormat="1" applyFont="1" applyAlignment="1">
      <alignment vertical="top" wrapText="1"/>
    </xf>
    <xf numFmtId="9" fontId="2" fillId="10" borderId="9" xfId="0" applyNumberFormat="1" applyFont="1" applyFill="1" applyBorder="1" applyAlignment="1">
      <alignment horizontal="center" vertical="center" wrapText="1" readingOrder="1"/>
    </xf>
    <xf numFmtId="49" fontId="10" fillId="0" borderId="5" xfId="0" quotePrefix="1" applyNumberFormat="1" applyFont="1" applyBorder="1" applyAlignment="1">
      <alignment vertical="top" wrapText="1"/>
    </xf>
    <xf numFmtId="49" fontId="10" fillId="0" borderId="0" xfId="0" quotePrefix="1" applyNumberFormat="1" applyFont="1" applyAlignment="1">
      <alignment vertical="top" wrapText="1"/>
    </xf>
    <xf numFmtId="9" fontId="13" fillId="6" borderId="17" xfId="0" applyNumberFormat="1" applyFont="1" applyFill="1" applyBorder="1" applyAlignment="1">
      <alignment horizontal="center" vertical="center" wrapText="1" readingOrder="1"/>
    </xf>
    <xf numFmtId="0" fontId="2" fillId="13" borderId="12" xfId="0" applyFont="1" applyFill="1" applyBorder="1" applyAlignment="1">
      <alignment horizontal="left" vertical="center" wrapText="1" indent="1" readingOrder="1"/>
    </xf>
    <xf numFmtId="9" fontId="2" fillId="13" borderId="12" xfId="0" applyNumberFormat="1" applyFont="1" applyFill="1" applyBorder="1" applyAlignment="1">
      <alignment horizontal="center" vertical="center" wrapText="1" readingOrder="1"/>
    </xf>
    <xf numFmtId="0" fontId="2" fillId="13" borderId="12" xfId="0" applyFont="1" applyFill="1" applyBorder="1" applyAlignment="1">
      <alignment horizontal="center" vertical="center" wrapText="1" readingOrder="1"/>
    </xf>
    <xf numFmtId="49" fontId="2" fillId="0" borderId="0" xfId="0" applyNumberFormat="1" applyFont="1" applyAlignment="1">
      <alignment vertical="top" wrapText="1"/>
    </xf>
    <xf numFmtId="0" fontId="3" fillId="11" borderId="0" xfId="0" applyFont="1" applyFill="1" applyAlignment="1">
      <alignment horizontal="center" vertical="center" textRotation="90" wrapText="1" readingOrder="1"/>
    </xf>
    <xf numFmtId="49" fontId="9" fillId="3" borderId="0" xfId="0" applyNumberFormat="1" applyFont="1" applyFill="1" applyAlignment="1">
      <alignment horizontal="center" vertical="center" wrapText="1"/>
    </xf>
    <xf numFmtId="49" fontId="5" fillId="0" borderId="5" xfId="0" quotePrefix="1" applyNumberFormat="1" applyFont="1" applyBorder="1" applyAlignment="1">
      <alignment horizontal="left" vertical="top" wrapText="1"/>
    </xf>
    <xf numFmtId="0" fontId="3" fillId="4" borderId="2" xfId="0" applyFont="1" applyFill="1" applyBorder="1" applyAlignment="1">
      <alignment horizontal="center" vertical="center" textRotation="90" wrapText="1" readingOrder="1"/>
    </xf>
    <xf numFmtId="0" fontId="1" fillId="2" borderId="0" xfId="0" applyFont="1" applyFill="1" applyAlignment="1">
      <alignment vertical="center" wrapText="1"/>
    </xf>
    <xf numFmtId="0" fontId="3" fillId="2" borderId="0" xfId="0" applyFont="1" applyFill="1" applyAlignment="1">
      <alignment horizontal="center" vertical="center" wrapText="1" readingOrder="1"/>
    </xf>
    <xf numFmtId="0" fontId="3" fillId="2" borderId="1" xfId="0" applyFont="1" applyFill="1" applyBorder="1" applyAlignment="1">
      <alignment horizontal="center" vertical="center" wrapText="1" readingOrder="1"/>
    </xf>
    <xf numFmtId="9" fontId="2" fillId="10" borderId="7" xfId="0" applyNumberFormat="1" applyFont="1" applyFill="1" applyBorder="1" applyAlignment="1">
      <alignment horizontal="center" vertical="center" wrapText="1" readingOrder="1"/>
    </xf>
    <xf numFmtId="9" fontId="2" fillId="10" borderId="9" xfId="0" applyNumberFormat="1" applyFont="1" applyFill="1" applyBorder="1" applyAlignment="1">
      <alignment horizontal="center" vertical="center" wrapText="1" readingOrder="1"/>
    </xf>
    <xf numFmtId="0" fontId="3" fillId="7" borderId="0" xfId="0" applyFont="1" applyFill="1" applyAlignment="1">
      <alignment horizontal="center" vertical="center" textRotation="90" wrapText="1" readingOrder="1"/>
    </xf>
    <xf numFmtId="0" fontId="7" fillId="9" borderId="15" xfId="0" applyFont="1" applyFill="1" applyBorder="1" applyAlignment="1">
      <alignment horizontal="center" vertical="center" textRotation="90"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92D02-E529-48DB-A063-A686B6D2B9AD}">
  <dimension ref="A1:G19"/>
  <sheetViews>
    <sheetView tabSelected="1" zoomScale="107" zoomScaleNormal="72" workbookViewId="0">
      <selection sqref="A1:A2"/>
    </sheetView>
  </sheetViews>
  <sheetFormatPr defaultRowHeight="14.4" x14ac:dyDescent="0.3"/>
  <cols>
    <col min="2" max="2" width="19.77734375" customWidth="1"/>
    <col min="3" max="3" width="18.44140625" customWidth="1"/>
    <col min="4" max="5" width="13.77734375" customWidth="1"/>
    <col min="6" max="6" width="47.5546875" customWidth="1"/>
    <col min="7" max="7" width="75.109375" customWidth="1"/>
  </cols>
  <sheetData>
    <row r="1" spans="1:7" x14ac:dyDescent="0.3">
      <c r="A1" s="37"/>
      <c r="B1" s="38" t="s">
        <v>2</v>
      </c>
      <c r="C1" s="38" t="s">
        <v>1</v>
      </c>
      <c r="D1" s="38" t="s">
        <v>3</v>
      </c>
      <c r="E1" s="38" t="s">
        <v>4</v>
      </c>
      <c r="F1" s="34" t="s">
        <v>16</v>
      </c>
      <c r="G1" s="34" t="s">
        <v>33</v>
      </c>
    </row>
    <row r="2" spans="1:7" x14ac:dyDescent="0.3">
      <c r="A2" s="37"/>
      <c r="B2" s="39"/>
      <c r="C2" s="39"/>
      <c r="D2" s="39"/>
      <c r="E2" s="39"/>
      <c r="F2" s="34"/>
      <c r="G2" s="34"/>
    </row>
    <row r="3" spans="1:7" ht="22.95" customHeight="1" x14ac:dyDescent="0.3">
      <c r="A3" s="36" t="s">
        <v>0</v>
      </c>
      <c r="B3" s="5" t="s">
        <v>6</v>
      </c>
      <c r="C3" s="1">
        <v>0.05</v>
      </c>
      <c r="D3" s="2" t="s">
        <v>14</v>
      </c>
      <c r="E3" s="2" t="s">
        <v>15</v>
      </c>
      <c r="F3" s="35"/>
      <c r="G3" s="35" t="s">
        <v>38</v>
      </c>
    </row>
    <row r="4" spans="1:7" ht="60.45" customHeight="1" x14ac:dyDescent="0.3">
      <c r="A4" s="36"/>
      <c r="B4" s="3" t="s">
        <v>17</v>
      </c>
      <c r="C4" s="4">
        <v>0.05</v>
      </c>
      <c r="D4" s="2" t="s">
        <v>18</v>
      </c>
      <c r="E4" s="2" t="s">
        <v>19</v>
      </c>
      <c r="F4" s="35"/>
      <c r="G4" s="35"/>
    </row>
    <row r="5" spans="1:7" ht="22.8" x14ac:dyDescent="0.3">
      <c r="A5" s="7"/>
      <c r="B5" s="8"/>
      <c r="C5" s="23">
        <f>SUM(C3:C4)</f>
        <v>0.1</v>
      </c>
      <c r="D5" s="9"/>
      <c r="E5" s="9"/>
      <c r="F5" s="10"/>
      <c r="G5" s="10"/>
    </row>
    <row r="6" spans="1:7" ht="164.4" customHeight="1" x14ac:dyDescent="0.3">
      <c r="A6" s="42" t="s">
        <v>7</v>
      </c>
      <c r="B6" s="11" t="s">
        <v>8</v>
      </c>
      <c r="C6" s="12">
        <v>0.1</v>
      </c>
      <c r="D6" s="14" t="s">
        <v>20</v>
      </c>
      <c r="E6" s="14" t="s">
        <v>21</v>
      </c>
      <c r="F6" s="6"/>
      <c r="G6" s="6" t="s">
        <v>40</v>
      </c>
    </row>
    <row r="7" spans="1:7" ht="49.5" customHeight="1" x14ac:dyDescent="0.3">
      <c r="A7" s="42"/>
      <c r="B7" s="11" t="s">
        <v>13</v>
      </c>
      <c r="C7" s="12">
        <v>0.05</v>
      </c>
      <c r="D7" s="11"/>
      <c r="E7" s="11"/>
      <c r="F7" s="24"/>
      <c r="G7" s="24" t="s">
        <v>43</v>
      </c>
    </row>
    <row r="8" spans="1:7" ht="22.8" x14ac:dyDescent="0.3">
      <c r="A8" s="7"/>
      <c r="B8" s="8"/>
      <c r="C8" s="23">
        <f>SUM(C6:C7)</f>
        <v>0.15000000000000002</v>
      </c>
      <c r="D8" s="9"/>
      <c r="E8" s="9"/>
      <c r="F8" s="10"/>
      <c r="G8" s="10"/>
    </row>
    <row r="9" spans="1:7" ht="267.60000000000002" customHeight="1" x14ac:dyDescent="0.3">
      <c r="A9" s="43" t="s">
        <v>9</v>
      </c>
      <c r="B9" s="13" t="s">
        <v>22</v>
      </c>
      <c r="C9" s="16">
        <v>0.3</v>
      </c>
      <c r="D9" s="14" t="s">
        <v>23</v>
      </c>
      <c r="E9" s="14" t="s">
        <v>24</v>
      </c>
      <c r="F9" s="19"/>
      <c r="G9" s="19" t="s">
        <v>44</v>
      </c>
    </row>
    <row r="10" spans="1:7" ht="172.2" customHeight="1" x14ac:dyDescent="0.3">
      <c r="A10" s="43"/>
      <c r="B10" s="15" t="s">
        <v>25</v>
      </c>
      <c r="C10" s="40">
        <v>0.25</v>
      </c>
      <c r="D10" s="40" t="s">
        <v>23</v>
      </c>
      <c r="E10" s="40" t="s">
        <v>26</v>
      </c>
      <c r="F10" s="19"/>
      <c r="G10" s="19" t="s">
        <v>42</v>
      </c>
    </row>
    <row r="11" spans="1:7" ht="119.55" customHeight="1" x14ac:dyDescent="0.3">
      <c r="A11" s="43"/>
      <c r="B11" s="15" t="s">
        <v>27</v>
      </c>
      <c r="C11" s="41"/>
      <c r="D11" s="41"/>
      <c r="E11" s="41"/>
      <c r="F11" s="26"/>
      <c r="G11" s="26" t="s">
        <v>28</v>
      </c>
    </row>
    <row r="12" spans="1:7" ht="55.5" customHeight="1" x14ac:dyDescent="0.3">
      <c r="A12" s="43"/>
      <c r="B12" s="15" t="s">
        <v>29</v>
      </c>
      <c r="C12" s="16">
        <v>0.05</v>
      </c>
      <c r="D12" s="25"/>
      <c r="E12" s="25"/>
      <c r="F12" s="27"/>
      <c r="G12" s="27" t="s">
        <v>41</v>
      </c>
    </row>
    <row r="13" spans="1:7" ht="22.5" customHeight="1" x14ac:dyDescent="0.3">
      <c r="A13" s="17"/>
      <c r="B13" s="17"/>
      <c r="C13" s="23">
        <f>SUM(C9:C12)</f>
        <v>0.60000000000000009</v>
      </c>
      <c r="D13" s="18"/>
      <c r="E13" s="18"/>
      <c r="F13" s="10"/>
      <c r="G13" s="10"/>
    </row>
    <row r="14" spans="1:7" ht="79.2" x14ac:dyDescent="0.3">
      <c r="A14" s="33" t="s">
        <v>10</v>
      </c>
      <c r="B14" s="20" t="s">
        <v>30</v>
      </c>
      <c r="C14" s="21">
        <v>0.1</v>
      </c>
      <c r="D14" s="22" t="s">
        <v>31</v>
      </c>
      <c r="E14" s="22" t="s">
        <v>32</v>
      </c>
      <c r="G14" s="19" t="s">
        <v>39</v>
      </c>
    </row>
    <row r="15" spans="1:7" ht="39.6" x14ac:dyDescent="0.3">
      <c r="A15" s="33"/>
      <c r="B15" s="20" t="s">
        <v>11</v>
      </c>
      <c r="C15" s="21">
        <v>0.05</v>
      </c>
      <c r="D15" s="22" t="s">
        <v>12</v>
      </c>
      <c r="E15" s="22" t="s">
        <v>5</v>
      </c>
      <c r="F15" s="19"/>
      <c r="G15" s="19" t="s">
        <v>45</v>
      </c>
    </row>
    <row r="16" spans="1:7" ht="39.6" x14ac:dyDescent="0.3">
      <c r="A16" s="33"/>
      <c r="B16" s="29" t="s">
        <v>34</v>
      </c>
      <c r="C16" s="30"/>
      <c r="D16" s="31" t="s">
        <v>35</v>
      </c>
      <c r="E16" s="31" t="s">
        <v>36</v>
      </c>
      <c r="F16" s="32"/>
      <c r="G16" s="19" t="s">
        <v>37</v>
      </c>
    </row>
    <row r="17" spans="1:7" ht="22.8" x14ac:dyDescent="0.3">
      <c r="A17" s="17"/>
      <c r="B17" s="17"/>
      <c r="C17" s="23">
        <f>SUM(C14:C16)</f>
        <v>0.15000000000000002</v>
      </c>
      <c r="D17" s="18"/>
      <c r="E17" s="18"/>
      <c r="F17" s="10"/>
      <c r="G17" s="10"/>
    </row>
    <row r="19" spans="1:7" ht="18.600000000000001" x14ac:dyDescent="0.3">
      <c r="C19" s="28">
        <f>SUM(C17,C13,C8,C5)</f>
        <v>1.0000000000000002</v>
      </c>
    </row>
  </sheetData>
  <mergeCells count="16">
    <mergeCell ref="A14:A16"/>
    <mergeCell ref="G1:G2"/>
    <mergeCell ref="G3:G4"/>
    <mergeCell ref="F1:F2"/>
    <mergeCell ref="F3:F4"/>
    <mergeCell ref="A3:A4"/>
    <mergeCell ref="A1:A2"/>
    <mergeCell ref="B1:B2"/>
    <mergeCell ref="E10:E11"/>
    <mergeCell ref="C1:C2"/>
    <mergeCell ref="D1:D2"/>
    <mergeCell ref="E1:E2"/>
    <mergeCell ref="A6:A7"/>
    <mergeCell ref="C10:C11"/>
    <mergeCell ref="D10:D11"/>
    <mergeCell ref="A9:A1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Yike Seam, Chan</dc:creator>
  <cp:lastModifiedBy>Purushotham Atthi</cp:lastModifiedBy>
  <dcterms:created xsi:type="dcterms:W3CDTF">2022-05-31T02:03:56Z</dcterms:created>
  <dcterms:modified xsi:type="dcterms:W3CDTF">2024-05-17T06:45:18Z</dcterms:modified>
</cp:coreProperties>
</file>