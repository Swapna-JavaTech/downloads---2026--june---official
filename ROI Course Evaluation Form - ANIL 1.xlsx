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nilkumarp\Downloads\"/>
    </mc:Choice>
  </mc:AlternateContent>
  <xr:revisionPtr revIDLastSave="0" documentId="13_ncr:1_{EE76CC10-58B9-49E5-8A75-7C5CF4E03FA9}" xr6:coauthVersionLast="47" xr6:coauthVersionMax="47" xr10:uidLastSave="{00000000-0000-0000-0000-000000000000}"/>
  <bookViews>
    <workbookView xWindow="28680" yWindow="-60" windowWidth="51840" windowHeight="21120" tabRatio="739" activeTab="3" xr2:uid="{BD949517-5FBD-4E8D-BAE0-59AC50F62117}"/>
  </bookViews>
  <sheets>
    <sheet name="Self-Assessment Form(A)" sheetId="1" r:id="rId1"/>
    <sheet name="Reaction(B)" sheetId="2" r:id="rId2"/>
    <sheet name="Learning(C)" sheetId="3" r:id="rId3"/>
    <sheet name="Retention(D)" sheetId="4" r:id="rId4"/>
    <sheet name="Implementation(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6" i="2" l="1"/>
  <c r="K20" i="5" l="1"/>
  <c r="M20" i="5" s="1"/>
  <c r="K19" i="5"/>
  <c r="M19" i="5" s="1"/>
  <c r="K18" i="5"/>
  <c r="M18" i="5" s="1"/>
  <c r="B20" i="5"/>
  <c r="B19" i="5"/>
  <c r="B18" i="5"/>
  <c r="Q21" i="3"/>
  <c r="O20" i="3"/>
  <c r="Q20" i="3" s="1"/>
  <c r="O19" i="3"/>
  <c r="Q19" i="3" s="1"/>
  <c r="I7" i="2" l="1"/>
  <c r="I11" i="2"/>
  <c r="I12" i="4" l="1"/>
  <c r="I12" i="3"/>
  <c r="I12" i="2"/>
  <c r="I11" i="4"/>
  <c r="I9" i="4"/>
  <c r="I8" i="4"/>
  <c r="I7" i="4"/>
  <c r="P22" i="3"/>
  <c r="O22" i="3" l="1"/>
  <c r="O25" i="3" s="1"/>
  <c r="I11" i="3"/>
  <c r="I9" i="3"/>
  <c r="I8" i="3"/>
  <c r="I7" i="3"/>
  <c r="I8" i="2"/>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Pradeep Raj</author>
  </authors>
  <commentList>
    <comment ref="B21" authorId="0" shapeId="0" xr:uid="{9A671F72-C72F-4D25-9DE3-35EB58C5CFFD}">
      <text>
        <r>
          <rPr>
            <b/>
            <sz val="9"/>
            <color indexed="81"/>
            <rFont val="Tahoma"/>
            <family val="2"/>
          </rPr>
          <t>To be filled by the Trainee</t>
        </r>
      </text>
    </comment>
    <comment ref="B29" authorId="0" shapeId="0" xr:uid="{ECF71342-227D-4565-8E6A-2A89B0D3E194}">
      <text>
        <r>
          <rPr>
            <b/>
            <sz val="9"/>
            <color indexed="81"/>
            <rFont val="Tahoma"/>
            <family val="2"/>
          </rPr>
          <t>To be filled by Project Manager along with the Trainee</t>
        </r>
      </text>
    </comment>
  </commentList>
</comments>
</file>

<file path=xl/sharedStrings.xml><?xml version="1.0" encoding="utf-8"?>
<sst xmlns="http://schemas.openxmlformats.org/spreadsheetml/2006/main" count="184" uniqueCount="127">
  <si>
    <t>COURSE EVALUATION FORM</t>
  </si>
  <si>
    <t>TRAINING SCHOOL</t>
  </si>
  <si>
    <t>TRAINER'S NAME</t>
  </si>
  <si>
    <t>TRAINEE NAME</t>
  </si>
  <si>
    <t>This Course Evaluation Form is designed to help us determine the effectiveness of the training program. We would appreciate if you could give us your comments so that we can cater to the needs of our future programs. If more than 1 trainer is involved, please request for additional course evaluation forms from HR. 
Please state the name of the trainer and complete the section on "Trainer Effectiveness" only.</t>
  </si>
  <si>
    <t>DESIGNATION/GRADE</t>
  </si>
  <si>
    <t>COURSE TITLE</t>
  </si>
  <si>
    <t>COURSE DATE</t>
  </si>
  <si>
    <t>TYPE OF TRAINING</t>
  </si>
  <si>
    <t>BU/PROJECT</t>
  </si>
  <si>
    <t>Internal</t>
  </si>
  <si>
    <t>External</t>
  </si>
  <si>
    <t>SELF ASSESSMENT</t>
  </si>
  <si>
    <t>SELF ASSESSMENT FORM(A)</t>
  </si>
  <si>
    <t>Before Training</t>
  </si>
  <si>
    <t>AVERAGE</t>
  </si>
  <si>
    <t>Performance Objective to be Improved through this training</t>
  </si>
  <si>
    <t>COURSE CONTENT</t>
  </si>
  <si>
    <t>Rating: Poor-1, Average-2, Good-3, Excellent-4</t>
  </si>
  <si>
    <t>Content of the Course</t>
  </si>
  <si>
    <t>TRAINER EFFECTIVENESS</t>
  </si>
  <si>
    <t>OVERALL ASSESSMENT OF THE COURSE</t>
  </si>
  <si>
    <t>Your overall assessment of the course is</t>
  </si>
  <si>
    <t xml:space="preserve">Knowledge of subject matter		</t>
  </si>
  <si>
    <t xml:space="preserve">Ability to sustain participants' interest in learning	</t>
  </si>
  <si>
    <t xml:space="preserve">Trainer's facilitation &amp; presentation skills	</t>
  </si>
  <si>
    <t>Will you recommend this trainer to other staff?</t>
  </si>
  <si>
    <t>Ability to explain concepts clearly</t>
  </si>
  <si>
    <t xml:space="preserve">Ability to stimulate discussion and encourage participation	</t>
  </si>
  <si>
    <t>Relevance of the course to your work</t>
  </si>
  <si>
    <t>Depth of the course</t>
  </si>
  <si>
    <t>Usefulness of the class exercises and materials</t>
  </si>
  <si>
    <t>Duration and pace of course</t>
  </si>
  <si>
    <t>Will you recommend this course to other staff?</t>
  </si>
  <si>
    <t>OTHER COMMENTS</t>
  </si>
  <si>
    <t>BEFORE TRAINING</t>
  </si>
  <si>
    <t>AFTER TRAINING</t>
  </si>
  <si>
    <t>COMPENTENCIES GAINED THROUGH TRAINING</t>
  </si>
  <si>
    <t>PROGRESS INDICATOR</t>
  </si>
  <si>
    <t>%</t>
  </si>
  <si>
    <t>INSTRUCTION NOTES</t>
  </si>
  <si>
    <t>PROJECT MANAGER</t>
  </si>
  <si>
    <t>REACTION(B)</t>
  </si>
  <si>
    <t>LEARNING(C)</t>
  </si>
  <si>
    <t>RETENTION(D)</t>
  </si>
  <si>
    <t>Increased productivity</t>
  </si>
  <si>
    <t>Increased Personal Confidence</t>
  </si>
  <si>
    <t>Increased customer satisfaction</t>
  </si>
  <si>
    <t>Stronger relationships with colleagues</t>
  </si>
  <si>
    <t>?</t>
  </si>
  <si>
    <t>Had applied within a week</t>
  </si>
  <si>
    <t>Had applied within 2-5 weeks</t>
  </si>
  <si>
    <t>Has not applied but plan to do in future</t>
  </si>
  <si>
    <t>There is no opportunity in the current work to apply what the staff has learnt</t>
  </si>
  <si>
    <t>Yes</t>
  </si>
  <si>
    <t>Please given an example of the success the staff has achieved since attending this training</t>
  </si>
  <si>
    <t>What are the additional outcomes that you are expecting from your staff to achieve in the future</t>
  </si>
  <si>
    <t>Productivity Value</t>
  </si>
  <si>
    <t>IMPLEMENTATION(E)</t>
  </si>
  <si>
    <t>REACTION</t>
  </si>
  <si>
    <t>►REACTION</t>
  </si>
  <si>
    <t>►LEARNING</t>
  </si>
  <si>
    <t>►RETENTION</t>
  </si>
  <si>
    <t>►IMPLEMENTATION</t>
  </si>
  <si>
    <t>►SELF-ASSESSMENT</t>
  </si>
  <si>
    <t>LEARNING</t>
  </si>
  <si>
    <t>►SELF ASSESSMENT</t>
  </si>
  <si>
    <t>IMPLEMENTATION</t>
  </si>
  <si>
    <t>RETENTION</t>
  </si>
  <si>
    <t>PROCESS FLOW</t>
  </si>
  <si>
    <t>For Manager Acknowledgement</t>
  </si>
  <si>
    <t>h</t>
  </si>
  <si>
    <r>
      <t xml:space="preserve">Online assessment score Pre-training session </t>
    </r>
    <r>
      <rPr>
        <b/>
        <vertAlign val="superscript"/>
        <sz val="12"/>
        <color rgb="FFFF0000"/>
        <rFont val="Tahoma"/>
        <family val="2"/>
      </rPr>
      <t>1</t>
    </r>
  </si>
  <si>
    <t>Legends:</t>
  </si>
  <si>
    <t>Scores between 10-20% rating 1 is awarded</t>
  </si>
  <si>
    <t>Scores between 21-40% 2 is awarded</t>
  </si>
  <si>
    <t>Scores between 41-60% 3 is awarded</t>
  </si>
  <si>
    <t>Scores between 61-80% 4 is awarded</t>
  </si>
  <si>
    <t>Scores between 81-100% 5 is awarded</t>
  </si>
  <si>
    <r>
      <t xml:space="preserve">How do you rate yourself on the subject knowledge of this course? </t>
    </r>
    <r>
      <rPr>
        <b/>
        <vertAlign val="superscript"/>
        <sz val="12"/>
        <color rgb="FFFF0000"/>
        <rFont val="Tahoma"/>
        <family val="2"/>
      </rPr>
      <t>2</t>
    </r>
  </si>
  <si>
    <t xml:space="preserve"> Legend</t>
  </si>
  <si>
    <t>No Knowledge</t>
  </si>
  <si>
    <t xml:space="preserve">Basic knowledge </t>
  </si>
  <si>
    <t>Minimal knowledge</t>
  </si>
  <si>
    <t>Sufficient knowledge and can apply on the job</t>
  </si>
  <si>
    <t>Expert, can train others</t>
  </si>
  <si>
    <r>
      <t>The course will help to add more value and enhances my capabilities in current job</t>
    </r>
    <r>
      <rPr>
        <sz val="8"/>
        <color theme="1"/>
        <rFont val="Tahoma"/>
        <family val="2"/>
      </rPr>
      <t xml:space="preserve"> (Rating: 1 - 5 --&gt; 1 being lowest and 5 being highest)</t>
    </r>
  </si>
  <si>
    <r>
      <t xml:space="preserve">How do you rate yourself on the subject knowledge of this course? </t>
    </r>
    <r>
      <rPr>
        <b/>
        <vertAlign val="superscript"/>
        <sz val="14"/>
        <color rgb="FFFF0000"/>
        <rFont val="Tahoma"/>
        <family val="2"/>
      </rPr>
      <t>2</t>
    </r>
  </si>
  <si>
    <r>
      <t xml:space="preserve">Online assessment score Pre-training session </t>
    </r>
    <r>
      <rPr>
        <b/>
        <vertAlign val="superscript"/>
        <sz val="14"/>
        <color rgb="FFFF0000"/>
        <rFont val="Tahoma"/>
        <family val="2"/>
      </rPr>
      <t>1</t>
    </r>
  </si>
  <si>
    <t>COMPETENCY GAINED</t>
  </si>
  <si>
    <t>OVERALL AVERAGE</t>
  </si>
  <si>
    <t>I believe that I could see an impact on the following areas as the staff consistently applies what he/she has learnt in the course</t>
  </si>
  <si>
    <t>RATING</t>
  </si>
  <si>
    <t>(Rating: 1 - 5 --&gt; 1 being lowest and 5 being highest)</t>
  </si>
  <si>
    <t>Progress in Quality</t>
  </si>
  <si>
    <t>More respect from my peers</t>
  </si>
  <si>
    <t xml:space="preserve">The staff has applied what he/she has learnt on the job </t>
  </si>
  <si>
    <r>
      <t>PERFORMANCE OBJECTIVE TO BE IMPROVED THROUGH THIS TRAINING(</t>
    </r>
    <r>
      <rPr>
        <b/>
        <sz val="10"/>
        <color rgb="FF00FA71"/>
        <rFont val="Tw Cen MT Condensed Extra Bold"/>
        <family val="2"/>
      </rPr>
      <t>TO BE FILLED BY THE MANAGER AND THE TRAINEE</t>
    </r>
    <r>
      <rPr>
        <b/>
        <sz val="10"/>
        <color theme="0"/>
        <rFont val="Tw Cen MT Condensed Extra Bold"/>
        <family val="2"/>
      </rPr>
      <t>)</t>
    </r>
  </si>
  <si>
    <t>Time taken after 3 months
(Man days)</t>
  </si>
  <si>
    <t xml:space="preserve">Current Timeline for the Target Completion
(Man days)
</t>
  </si>
  <si>
    <t>STAFF SALARY PER DAY(₹)</t>
  </si>
  <si>
    <t>Manager to fill this data</t>
  </si>
  <si>
    <t>INDIVIDUAL COST OF THE COURSE(₹)</t>
  </si>
  <si>
    <t>ROI</t>
  </si>
  <si>
    <t>TOTAL COST OF THE COURSE(₹)</t>
  </si>
  <si>
    <t>TOTAL PARTICIPANTS</t>
  </si>
  <si>
    <t>Formula: 
A-&gt; (Before Training days - After Training days) * Staff salary per day		
B-&gt; (A - Individual cost )/ Individual Cost</t>
  </si>
  <si>
    <t>State 'Yes' as applicable from the list</t>
  </si>
  <si>
    <r>
      <rPr>
        <b/>
        <sz val="10"/>
        <color theme="0"/>
        <rFont val="Arial Narrow"/>
        <family val="2"/>
      </rPr>
      <t>◄</t>
    </r>
    <r>
      <rPr>
        <b/>
        <sz val="10"/>
        <color theme="0"/>
        <rFont val="Tw Cen MT Condensed Extra Bold"/>
        <family val="2"/>
      </rPr>
      <t>AFTER TRAINING</t>
    </r>
    <r>
      <rPr>
        <b/>
        <sz val="10"/>
        <color theme="0"/>
        <rFont val="Century Gothic"/>
        <family val="2"/>
      </rPr>
      <t>►</t>
    </r>
  </si>
  <si>
    <t>◄BEFORE TRAINING►</t>
  </si>
  <si>
    <r>
      <t>(To be filled</t>
    </r>
    <r>
      <rPr>
        <b/>
        <sz val="11"/>
        <color rgb="FF0070C0"/>
        <rFont val="Tw Cen MT Condensed Extra Bold"/>
        <family val="2"/>
      </rPr>
      <t xml:space="preserve"> </t>
    </r>
    <r>
      <rPr>
        <b/>
        <u/>
        <sz val="11"/>
        <color rgb="FF0070C0"/>
        <rFont val="Tw Cen MT Condensed Extra Bold"/>
        <family val="2"/>
      </rPr>
      <t>immediately</t>
    </r>
    <r>
      <rPr>
        <b/>
        <sz val="11"/>
        <color rgb="FF0070C0"/>
        <rFont val="Tw Cen MT Condensed Extra Bold"/>
        <family val="2"/>
      </rPr>
      <t xml:space="preserve"> </t>
    </r>
    <r>
      <rPr>
        <sz val="11"/>
        <color rgb="FF0070C0"/>
        <rFont val="Tw Cen MT Condensed Extra Bold"/>
        <family val="2"/>
      </rPr>
      <t>by the end of</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</si>
  <si>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before</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</si>
  <si>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after</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</si>
  <si>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 xml:space="preserve">(To be filled </t>
    </r>
    <r>
      <rPr>
        <b/>
        <u/>
        <sz val="11"/>
        <color rgb="FF0070C0"/>
        <rFont val="Tw Cen MT Condensed Extra Bold"/>
        <family val="2"/>
      </rPr>
      <t>after 1 month</t>
    </r>
    <r>
      <rPr>
        <sz val="11"/>
        <color rgb="FF0070C0"/>
        <rFont val="Tw Cen MT Condensed Extra Bold"/>
        <family val="2"/>
      </rPr>
      <t xml:space="preserve"> of course completion)</t>
    </r>
  </si>
  <si>
    <r>
      <t>(To be filled</t>
    </r>
    <r>
      <rPr>
        <u/>
        <sz val="11"/>
        <color rgb="FF0070C0"/>
        <rFont val="Tw Cen MT Condensed Extra Bold"/>
        <family val="2"/>
      </rPr>
      <t xml:space="preserve"> </t>
    </r>
    <r>
      <rPr>
        <b/>
        <u/>
        <sz val="11"/>
        <color rgb="FF0070C0"/>
        <rFont val="Tw Cen MT Condensed Extra Bold"/>
        <family val="2"/>
      </rPr>
      <t>after 3 month</t>
    </r>
    <r>
      <rPr>
        <sz val="11"/>
        <color rgb="FF0070C0"/>
        <rFont val="Tw Cen MT Condensed Extra Bold"/>
        <family val="2"/>
      </rPr>
      <t xml:space="preserve"> of course completion)</t>
    </r>
  </si>
  <si>
    <t>No</t>
  </si>
  <si>
    <t>Rating: Poor 1-2, Average 2-3, Good-3-4, Excellent-4-5</t>
  </si>
  <si>
    <t>Swapna R</t>
  </si>
  <si>
    <t>CrimsonLogic</t>
  </si>
  <si>
    <t>NA</t>
  </si>
  <si>
    <t>PSA - GTOS</t>
  </si>
  <si>
    <t>Angular</t>
  </si>
  <si>
    <t>Target 1 : Learn how to implement scalable architecture using Angular modules, components, and services.</t>
  </si>
  <si>
    <t xml:space="preserve">Target 2 :Start Learning and Implementing with Components (building blocks of Angular apps), Templates (HTML with Angular syntax), and Data Binding,Then learn DirectivesServices &amp; Dependency Injection, Next, understand Routing, explore Pipes </t>
  </si>
  <si>
    <t>Target 3 : Understand and implement Angular core concepts including Components, Data Binding, Directives, Services, Routing, Forms, HTTP Client, and RxJS.</t>
  </si>
  <si>
    <t>Anil kumar P</t>
  </si>
  <si>
    <t>Seniro Software Engineer-2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</si>
</sst>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30"/>
      <color theme="1"/>
      <name val="Tw Cen MT Condensed Extra Bold"/>
      <family val="2"/>
    </font>
    <font>
      <b/>
      <sz val="10"/>
      <color theme="0"/>
      <name val="Tw Cen MT Condensed Extra Bold"/>
      <family val="2"/>
    </font>
    <font>
      <sz val="11"/>
      <color theme="1"/>
      <name val="Verdana"/>
      <family val="2"/>
    </font>
    <font>
      <i/>
      <sz val="11"/>
      <color theme="0" tint="-0.249977111117893"/>
      <name val="Calibri"/>
      <family val="2"/>
      <scheme val="minor"/>
    </font>
    <font>
      <sz val="12"/>
      <color theme="1"/>
      <name val="Tw Cen MT Condensed Extra Bold"/>
      <family val="2"/>
    </font>
    <font>
      <b/>
      <sz val="11"/>
      <color theme="1"/>
      <name val="Tw Cen MT"/>
      <family val="2"/>
    </font>
    <font>
      <sz val="11"/>
      <color theme="1"/>
      <name val="Tw Cen MT"/>
      <family val="2"/>
    </font>
    <font>
      <sz val="10"/>
      <color theme="1"/>
      <name val="Segoe UI Light"/>
      <family val="2"/>
    </font>
    <font>
      <sz val="16"/>
      <color theme="1"/>
      <name val="Tw Cen MT Condensed Extra Bold"/>
      <family val="2"/>
    </font>
    <font>
      <sz val="11"/>
      <color theme="1"/>
      <name val="Tahoma"/>
      <family val="2"/>
    </font>
    <font>
      <sz val="10"/>
      <color theme="1"/>
      <name val="Tahoma"/>
      <family val="2"/>
    </font>
    <font>
      <b/>
      <sz val="10"/>
      <color theme="1"/>
      <name val="Tahoma"/>
      <family val="2"/>
    </font>
    <font>
      <b/>
      <sz val="11"/>
      <color theme="1"/>
      <name val="Calibri"/>
      <family val="2"/>
      <scheme val="minor"/>
    </font>
    <font>
      <sz val="11"/>
      <color theme="0"/>
      <name val="Calibri"/>
      <family val="2"/>
      <scheme val="minor"/>
    </font>
    <font>
      <sz val="9"/>
      <color theme="1"/>
      <name val="Tahoma"/>
      <family val="2"/>
    </font>
    <font>
      <b/>
      <sz val="10"/>
      <name val="Tw Cen MT Condensed Extra Bold"/>
      <family val="2"/>
    </font>
    <font>
      <sz val="9"/>
      <color theme="0"/>
      <name val="Tahoma"/>
      <family val="2"/>
    </font>
    <font>
      <u/>
      <sz val="11"/>
      <color theme="10"/>
      <name val="Calibri"/>
      <family val="2"/>
      <scheme val="minor"/>
    </font>
    <font>
      <b/>
      <sz val="9"/>
      <color rgb="FFFFCC00"/>
      <name val="Tahoma"/>
      <family val="2"/>
    </font>
    <font>
      <sz val="9"/>
      <color theme="0" tint="-4.9989318521683403E-2"/>
      <name val="Tahoma"/>
      <family val="2"/>
    </font>
    <font>
      <b/>
      <sz val="10"/>
      <color theme="1"/>
      <name val="Tw Cen MT"/>
      <family val="2"/>
    </font>
    <font>
      <sz val="11"/>
      <color rgb="FFFF0000"/>
      <name val="Calibri"/>
      <family val="2"/>
      <scheme val="minor"/>
    </font>
    <font>
      <sz val="11"/>
      <color theme="1"/>
      <name val="Calibri"/>
      <family val="2"/>
      <scheme val="minor"/>
    </font>
    <font>
      <b/>
      <vertAlign val="superscript"/>
      <sz val="14"/>
      <color rgb="FFFF0000"/>
      <name val="Tahoma"/>
      <family val="2"/>
    </font>
    <font>
      <b/>
      <vertAlign val="superscript"/>
      <sz val="12"/>
      <color rgb="FFFF0000"/>
      <name val="Tahoma"/>
      <family val="2"/>
    </font>
    <font>
      <b/>
      <sz val="11"/>
      <color rgb="FFFF0000"/>
      <name val="Calibri"/>
      <family val="2"/>
      <scheme val="minor"/>
    </font>
    <font>
      <sz val="8"/>
      <color theme="1"/>
      <name val="Tahoma"/>
      <family val="2"/>
    </font>
    <font>
      <sz val="9"/>
      <color rgb="FFFF0000"/>
      <name val="Tahoma"/>
      <family val="2"/>
    </font>
    <font>
      <b/>
      <sz val="10"/>
      <color rgb="FF00FA71"/>
      <name val="Tw Cen MT Condensed Extra Bold"/>
      <family val="2"/>
    </font>
    <font>
      <sz val="8"/>
      <color rgb="FFFF0000"/>
      <name val="Tahoma"/>
      <family val="2"/>
    </font>
    <font>
      <b/>
      <sz val="10"/>
      <color theme="0"/>
      <name val="Arial Narrow"/>
      <family val="2"/>
    </font>
    <font>
      <b/>
      <sz val="10"/>
      <color theme="0"/>
      <name val="Century Gothic"/>
      <family val="2"/>
    </font>
    <font>
      <b/>
      <u/>
      <sz val="11"/>
      <color theme="1"/>
      <name val="Calibri"/>
      <family val="2"/>
      <scheme val="minor"/>
    </font>
    <font>
      <b/>
      <sz val="9"/>
      <color theme="1"/>
      <name val="Tahoma"/>
      <family val="2"/>
    </font>
    <font>
      <sz val="11"/>
      <color rgb="FF0070C0"/>
      <name val="Tw Cen MT Condensed Extra Bold"/>
      <family val="2"/>
    </font>
    <font>
      <b/>
      <sz val="11"/>
      <color rgb="FF0070C0"/>
      <name val="Tw Cen MT Condensed Extra Bold"/>
      <family val="2"/>
    </font>
    <font>
      <b/>
      <u/>
      <sz val="11"/>
      <color rgb="FF0070C0"/>
      <name val="Tw Cen MT Condensed Extra Bold"/>
      <family val="2"/>
    </font>
    <font>
      <u/>
      <sz val="11"/>
      <color rgb="FF0070C0"/>
      <name val="Tw Cen MT Condensed Extra Bold"/>
      <family val="2"/>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00FA71"/>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B050"/>
        <bgColor indexed="64"/>
      </patternFill>
    </fill>
  </fills>
  <borders count="22">
    <border>
      <left/>
      <right/>
      <top/>
      <bottom/>
      <diagonal/>
    </border>
    <border>
      <left/>
      <right style="hair">
        <color indexed="64"/>
      </right>
      <top/>
      <bottom/>
      <diagonal/>
    </border>
    <border>
      <left style="hair">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hair">
        <color indexed="64"/>
      </left>
      <right/>
      <top style="thick">
        <color indexed="64"/>
      </top>
      <bottom style="thick">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top style="dotted">
        <color indexed="64"/>
      </top>
      <bottom/>
      <diagonal/>
    </border>
    <border>
      <left style="thick">
        <color theme="0"/>
      </left>
      <right style="thick">
        <color theme="0"/>
      </right>
      <top style="thick">
        <color theme="0"/>
      </top>
      <bottom style="thick">
        <color theme="0"/>
      </bottom>
      <diagonal/>
    </border>
    <border>
      <left/>
      <right style="dotted">
        <color indexed="64"/>
      </right>
      <top style="dotted">
        <color indexed="64"/>
      </top>
      <bottom/>
      <diagonal/>
    </border>
    <border>
      <left style="dotted">
        <color indexed="64"/>
      </left>
      <right style="hair">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dotted">
        <color indexed="64"/>
      </left>
      <right/>
      <top style="dotted">
        <color indexed="64"/>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dotted">
        <color indexed="64"/>
      </left>
      <right/>
      <top/>
      <bottom/>
      <diagonal/>
    </border>
    <border>
      <left style="hair">
        <color indexed="64"/>
      </left>
      <right/>
      <top/>
      <bottom/>
      <diagonal/>
    </border>
  </borders>
  <cellStyleXfs count="3">
    <xf numFmtId="0" fontId="0" fillId="0" borderId="0"/>
    <xf numFmtId="0" fontId="18" fillId="0" borderId="0" applyNumberFormat="0" applyFill="0" applyBorder="0" applyAlignment="0" applyProtection="0"/>
    <xf numFmtId="9" fontId="23" fillId="0" borderId="0" applyFont="0" applyFill="0" applyBorder="0" applyAlignment="0" applyProtection="0"/>
  </cellStyleXfs>
  <cellXfs count="113">
    <xf numFmtId="0" fontId="0" fillId="0" borderId="0" xfId="0"/>
    <xf numFmtId="0" fontId="0" fillId="2" borderId="0" xfId="0" applyFill="1"/>
    <xf numFmtId="0" fontId="3" fillId="2" borderId="0" xfId="0" applyFont="1" applyFill="1" applyAlignment="1">
      <alignment horizontal="left" vertical="top"/>
    </xf>
    <xf numFmtId="0" fontId="4" fillId="2" borderId="0" xfId="0" applyFont="1" applyFill="1"/>
    <xf numFmtId="0" fontId="5" fillId="2" borderId="0" xfId="0" applyFont="1" applyFill="1" applyAlignment="1">
      <alignment horizontal="center" vertical="top" wrapText="1"/>
    </xf>
    <xf numFmtId="0" fontId="7" fillId="2" borderId="0" xfId="0" applyFont="1" applyFill="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xf>
    <xf numFmtId="0" fontId="2" fillId="2" borderId="0" xfId="0" applyFont="1" applyFill="1" applyAlignment="1">
      <alignment horizontal="center" vertical="center"/>
    </xf>
    <xf numFmtId="0" fontId="6" fillId="2" borderId="0" xfId="0" applyFont="1" applyFill="1" applyAlignment="1">
      <alignment horizontal="left"/>
    </xf>
    <xf numFmtId="0" fontId="10" fillId="2" borderId="0" xfId="0" applyFont="1" applyFill="1" applyAlignment="1">
      <alignment horizontal="left"/>
    </xf>
    <xf numFmtId="49" fontId="0" fillId="2" borderId="0" xfId="0" applyNumberFormat="1" applyFill="1"/>
    <xf numFmtId="0" fontId="12" fillId="2" borderId="0" xfId="0" applyFont="1" applyFill="1" applyAlignment="1">
      <alignment horizontal="left"/>
    </xf>
    <xf numFmtId="0" fontId="2" fillId="4" borderId="7" xfId="0" applyFont="1" applyFill="1" applyBorder="1" applyAlignment="1">
      <alignment horizontal="center" vertical="center"/>
    </xf>
    <xf numFmtId="0" fontId="2" fillId="4" borderId="7" xfId="0" applyFont="1" applyFill="1" applyBorder="1" applyAlignment="1">
      <alignment vertical="center"/>
    </xf>
    <xf numFmtId="0" fontId="11" fillId="2" borderId="6" xfId="0" applyFont="1" applyFill="1" applyBorder="1" applyAlignment="1">
      <alignment horizontal="center" vertical="center"/>
    </xf>
    <xf numFmtId="0" fontId="5" fillId="2" borderId="0" xfId="0" applyFont="1" applyFill="1" applyAlignment="1">
      <alignment vertical="center" wrapText="1"/>
    </xf>
    <xf numFmtId="164" fontId="12" fillId="2" borderId="8" xfId="0" applyNumberFormat="1" applyFont="1" applyFill="1" applyBorder="1" applyAlignment="1">
      <alignment horizontal="center" vertical="center"/>
    </xf>
    <xf numFmtId="1" fontId="11" fillId="6" borderId="8"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2" fillId="4" borderId="0" xfId="0" applyFont="1" applyFill="1" applyAlignment="1">
      <alignment horizontal="center" vertical="center"/>
    </xf>
    <xf numFmtId="1" fontId="11" fillId="6" borderId="6" xfId="0" applyNumberFormat="1" applyFont="1" applyFill="1" applyBorder="1" applyAlignment="1">
      <alignment horizontal="center" vertical="center"/>
    </xf>
    <xf numFmtId="1" fontId="11" fillId="6" borderId="11" xfId="0" applyNumberFormat="1" applyFont="1" applyFill="1" applyBorder="1" applyAlignment="1">
      <alignment horizontal="center" vertical="center"/>
    </xf>
    <xf numFmtId="0" fontId="13" fillId="2" borderId="10" xfId="0" applyFont="1" applyFill="1" applyBorder="1" applyAlignment="1">
      <alignment vertical="center"/>
    </xf>
    <xf numFmtId="164" fontId="12" fillId="2" borderId="8" xfId="0" applyNumberFormat="1" applyFont="1" applyFill="1" applyBorder="1" applyAlignment="1">
      <alignment horizontal="right" vertical="center"/>
    </xf>
    <xf numFmtId="0" fontId="15" fillId="2" borderId="0" xfId="0" applyFont="1" applyFill="1"/>
    <xf numFmtId="0" fontId="2" fillId="4" borderId="7" xfId="0" applyFont="1" applyFill="1" applyBorder="1" applyAlignment="1">
      <alignment horizontal="center" vertical="center" wrapText="1"/>
    </xf>
    <xf numFmtId="0" fontId="12" fillId="2" borderId="6" xfId="0" applyFont="1" applyFill="1" applyBorder="1" applyAlignment="1">
      <alignment horizontal="center" vertical="center"/>
    </xf>
    <xf numFmtId="0" fontId="11" fillId="2" borderId="0" xfId="0" applyFont="1" applyFill="1" applyAlignment="1">
      <alignment vertical="center"/>
    </xf>
    <xf numFmtId="0" fontId="14" fillId="2" borderId="0" xfId="0" applyFont="1" applyFill="1"/>
    <xf numFmtId="0" fontId="17" fillId="7" borderId="0" xfId="1" applyFont="1" applyFill="1" applyAlignment="1">
      <alignment horizontal="center" vertical="center"/>
    </xf>
    <xf numFmtId="0" fontId="17" fillId="2" borderId="0" xfId="1" applyFont="1" applyFill="1" applyAlignment="1">
      <alignment horizontal="center" vertical="center"/>
    </xf>
    <xf numFmtId="0" fontId="21" fillId="2" borderId="0" xfId="0" applyFont="1" applyFill="1" applyAlignment="1">
      <alignment vertical="center"/>
    </xf>
    <xf numFmtId="14" fontId="6" fillId="2" borderId="0" xfId="0" applyNumberFormat="1" applyFont="1" applyFill="1" applyAlignment="1">
      <alignment horizontal="left" vertical="center" wrapText="1"/>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22" fillId="2" borderId="0" xfId="0" applyFont="1" applyFill="1"/>
    <xf numFmtId="0" fontId="26" fillId="2" borderId="0" xfId="0" applyFont="1" applyFill="1"/>
    <xf numFmtId="0" fontId="26" fillId="2" borderId="0" xfId="0" applyFont="1" applyFill="1" applyAlignment="1">
      <alignment horizontal="center" vertical="center"/>
    </xf>
    <xf numFmtId="10" fontId="11" fillId="2" borderId="15" xfId="2"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2" fillId="2" borderId="16" xfId="0" applyNumberFormat="1" applyFont="1" applyFill="1" applyBorder="1" applyAlignment="1">
      <alignment horizontal="center" vertical="center"/>
    </xf>
    <xf numFmtId="0" fontId="28" fillId="2" borderId="0" xfId="0" applyFont="1" applyFill="1" applyAlignment="1">
      <alignment vertical="top"/>
    </xf>
    <xf numFmtId="0" fontId="0" fillId="2" borderId="0" xfId="0" applyFill="1" applyAlignment="1">
      <alignment vertical="top"/>
    </xf>
    <xf numFmtId="9" fontId="0" fillId="2" borderId="0" xfId="2" applyFont="1" applyFill="1"/>
    <xf numFmtId="9" fontId="0" fillId="2" borderId="0" xfId="0" applyNumberFormat="1" applyFill="1"/>
    <xf numFmtId="0" fontId="0" fillId="2" borderId="0" xfId="0" applyFill="1" applyAlignment="1">
      <alignment horizontal="center" wrapText="1"/>
    </xf>
    <xf numFmtId="0" fontId="0" fillId="2" borderId="0" xfId="0" applyFill="1" applyAlignment="1">
      <alignment vertical="top" wrapText="1"/>
    </xf>
    <xf numFmtId="2" fontId="16" fillId="2" borderId="0" xfId="0" applyNumberFormat="1" applyFont="1" applyFill="1" applyAlignment="1">
      <alignment horizontal="center" vertical="center"/>
    </xf>
    <xf numFmtId="0" fontId="30" fillId="2" borderId="0" xfId="0" applyFont="1" applyFill="1"/>
    <xf numFmtId="2" fontId="16" fillId="2" borderId="16" xfId="0" applyNumberFormat="1" applyFont="1" applyFill="1" applyBorder="1" applyAlignment="1">
      <alignment vertical="center"/>
    </xf>
    <xf numFmtId="1" fontId="16" fillId="2" borderId="16" xfId="0" applyNumberFormat="1" applyFont="1" applyFill="1" applyBorder="1" applyAlignment="1">
      <alignment horizontal="center" vertical="center"/>
    </xf>
    <xf numFmtId="0" fontId="33" fillId="2" borderId="0" xfId="0" applyFont="1" applyFill="1"/>
    <xf numFmtId="0" fontId="34" fillId="2" borderId="0" xfId="0" applyFont="1" applyFill="1"/>
    <xf numFmtId="0" fontId="15" fillId="2" borderId="21" xfId="0" applyFont="1" applyFill="1" applyBorder="1"/>
    <xf numFmtId="0" fontId="9" fillId="2" borderId="0" xfId="0" applyFont="1" applyFill="1" applyAlignment="1">
      <alignment horizontal="center" vertical="center" wrapText="1"/>
    </xf>
    <xf numFmtId="0" fontId="35" fillId="2" borderId="0" xfId="0" applyFont="1" applyFill="1" applyAlignment="1">
      <alignment horizontal="center" vertical="center" wrapText="1"/>
    </xf>
    <xf numFmtId="0" fontId="35" fillId="2" borderId="0" xfId="0" applyFont="1" applyFill="1" applyAlignment="1">
      <alignment vertical="center" wrapText="1"/>
    </xf>
    <xf numFmtId="164" fontId="12" fillId="2" borderId="6" xfId="0" applyNumberFormat="1" applyFont="1" applyFill="1" applyBorder="1" applyAlignment="1">
      <alignment horizontal="center" vertical="center"/>
    </xf>
    <xf numFmtId="0" fontId="5" fillId="2" borderId="12" xfId="0" applyFont="1" applyFill="1" applyBorder="1" applyAlignment="1">
      <alignment horizontal="right" vertical="center" wrapText="1"/>
    </xf>
    <xf numFmtId="0" fontId="5" fillId="2" borderId="14" xfId="0" applyFont="1" applyFill="1" applyBorder="1" applyAlignment="1">
      <alignment horizontal="right" vertical="center" wrapText="1"/>
    </xf>
    <xf numFmtId="0" fontId="1" fillId="2" borderId="0" xfId="0" applyFont="1" applyFill="1" applyAlignment="1">
      <alignment horizontal="center" vertical="center" wrapText="1"/>
    </xf>
    <xf numFmtId="0" fontId="9" fillId="2" borderId="0" xfId="0" applyFont="1" applyFill="1" applyAlignment="1">
      <alignment horizontal="center"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12" fontId="6" fillId="3" borderId="2" xfId="0" applyNumberFormat="1" applyFont="1" applyFill="1" applyBorder="1" applyAlignment="1">
      <alignment horizontal="left" vertical="center" wrapText="1"/>
    </xf>
    <xf numFmtId="12" fontId="6" fillId="3" borderId="3" xfId="0" applyNumberFormat="1"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35" fillId="2" borderId="0" xfId="0" applyFont="1" applyFill="1" applyAlignment="1">
      <alignment horizontal="center" vertical="center" wrapText="1"/>
    </xf>
    <xf numFmtId="0" fontId="5" fillId="2" borderId="12" xfId="0" applyFont="1" applyFill="1" applyBorder="1" applyAlignment="1">
      <alignment horizontal="center" vertical="center" wrapText="1"/>
    </xf>
    <xf numFmtId="0" fontId="2" fillId="4" borderId="7" xfId="0" applyFont="1" applyFill="1" applyBorder="1" applyAlignment="1">
      <alignment horizontal="right"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5" fillId="2" borderId="0" xfId="0" applyFont="1" applyFill="1" applyAlignment="1">
      <alignmen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14" fontId="6" fillId="3" borderId="2" xfId="0" applyNumberFormat="1" applyFont="1" applyFill="1" applyBorder="1" applyAlignment="1">
      <alignment horizontal="left" vertical="center" wrapText="1"/>
    </xf>
    <xf numFmtId="0" fontId="20" fillId="7" borderId="13" xfId="1" applyFont="1" applyFill="1" applyBorder="1" applyAlignment="1">
      <alignment horizontal="center" vertical="center"/>
    </xf>
    <xf numFmtId="0" fontId="19" fillId="8" borderId="13" xfId="1" applyFont="1" applyFill="1" applyBorder="1" applyAlignment="1">
      <alignment horizontal="center" vertical="center"/>
    </xf>
    <xf numFmtId="0" fontId="11" fillId="2" borderId="6" xfId="0" applyFont="1" applyFill="1" applyBorder="1" applyAlignment="1">
      <alignment horizontal="left" vertical="center"/>
    </xf>
    <xf numFmtId="0" fontId="5" fillId="2" borderId="1" xfId="0" applyFont="1" applyFill="1" applyBorder="1" applyAlignment="1">
      <alignment vertical="center" wrapText="1"/>
    </xf>
    <xf numFmtId="0" fontId="2" fillId="4" borderId="7" xfId="0" applyFont="1" applyFill="1" applyBorder="1" applyAlignment="1">
      <alignment horizontal="center" vertical="center"/>
    </xf>
    <xf numFmtId="0" fontId="2" fillId="4" borderId="0" xfId="0" applyFont="1" applyFill="1" applyAlignment="1">
      <alignment horizontal="center" vertical="center"/>
    </xf>
    <xf numFmtId="49" fontId="8" fillId="2" borderId="0" xfId="0" applyNumberFormat="1" applyFont="1" applyFill="1" applyAlignment="1">
      <alignment horizontal="left" vertical="top" wrapText="1"/>
    </xf>
    <xf numFmtId="49" fontId="8" fillId="2" borderId="0" xfId="0" applyNumberFormat="1" applyFont="1" applyFill="1" applyAlignment="1">
      <alignment horizontal="left" vertical="top"/>
    </xf>
    <xf numFmtId="49" fontId="12" fillId="2" borderId="8" xfId="0" applyNumberFormat="1" applyFont="1" applyFill="1" applyBorder="1" applyAlignment="1">
      <alignment horizontal="left" vertical="center" wrapText="1"/>
    </xf>
    <xf numFmtId="49" fontId="12" fillId="2" borderId="9"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0" fontId="17" fillId="7" borderId="0" xfId="1" applyFont="1" applyFill="1" applyAlignment="1">
      <alignment horizontal="center" vertical="center"/>
    </xf>
    <xf numFmtId="14" fontId="6" fillId="3" borderId="3" xfId="0" applyNumberFormat="1" applyFont="1" applyFill="1" applyBorder="1" applyAlignment="1">
      <alignment horizontal="left" vertical="center"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left" vertical="center" wrapText="1"/>
    </xf>
    <xf numFmtId="0" fontId="2" fillId="6" borderId="7" xfId="0" applyFont="1" applyFill="1" applyBorder="1" applyAlignment="1">
      <alignment horizontal="center" vertical="center"/>
    </xf>
    <xf numFmtId="2" fontId="16" fillId="2" borderId="8" xfId="0" applyNumberFormat="1" applyFont="1" applyFill="1" applyBorder="1" applyAlignment="1">
      <alignment horizontal="center" vertical="center"/>
    </xf>
    <xf numFmtId="2" fontId="16" fillId="2" borderId="9" xfId="0" applyNumberFormat="1" applyFont="1" applyFill="1" applyBorder="1" applyAlignment="1">
      <alignment horizontal="center" vertical="center"/>
    </xf>
    <xf numFmtId="2" fontId="16" fillId="2" borderId="10" xfId="0" applyNumberFormat="1" applyFont="1" applyFill="1" applyBorder="1" applyAlignment="1">
      <alignment horizontal="center" vertical="center"/>
    </xf>
    <xf numFmtId="0" fontId="13" fillId="2" borderId="20" xfId="0" applyFont="1" applyFill="1" applyBorder="1" applyAlignment="1">
      <alignment horizontal="left" vertical="top" wrapText="1"/>
    </xf>
    <xf numFmtId="0" fontId="13" fillId="2" borderId="0" xfId="0" applyFont="1" applyFill="1" applyAlignment="1">
      <alignment horizontal="left" vertical="top" wrapText="1"/>
    </xf>
    <xf numFmtId="0" fontId="2" fillId="4" borderId="7" xfId="0" applyFont="1" applyFill="1" applyBorder="1" applyAlignment="1">
      <alignment horizontal="center" vertical="top" wrapText="1"/>
    </xf>
    <xf numFmtId="0" fontId="20" fillId="7" borderId="18" xfId="1" applyFont="1" applyFill="1" applyBorder="1" applyAlignment="1">
      <alignment horizontal="center" vertical="center"/>
    </xf>
    <xf numFmtId="0" fontId="20" fillId="7" borderId="19" xfId="1" applyFont="1" applyFill="1" applyBorder="1" applyAlignment="1">
      <alignment horizontal="center" vertical="center"/>
    </xf>
    <xf numFmtId="9" fontId="11" fillId="2" borderId="8" xfId="2" applyFont="1" applyFill="1" applyBorder="1" applyAlignment="1">
      <alignment horizontal="center" vertical="center"/>
    </xf>
    <xf numFmtId="9" fontId="11" fillId="2" borderId="9" xfId="2" applyFont="1" applyFill="1" applyBorder="1" applyAlignment="1">
      <alignment horizontal="center" vertical="center"/>
    </xf>
    <xf numFmtId="9" fontId="11" fillId="2" borderId="10" xfId="2" applyFont="1" applyFill="1" applyBorder="1" applyAlignment="1">
      <alignment horizontal="center" vertical="center"/>
    </xf>
    <xf numFmtId="49" fontId="11" fillId="2" borderId="8" xfId="0" applyNumberFormat="1" applyFont="1" applyFill="1" applyBorder="1" applyAlignment="1">
      <alignment horizontal="left" vertical="top" wrapText="1"/>
    </xf>
    <xf numFmtId="49" fontId="11" fillId="2" borderId="9" xfId="0" applyNumberFormat="1" applyFont="1" applyFill="1" applyBorder="1" applyAlignment="1">
      <alignment horizontal="left" vertical="top" wrapText="1"/>
    </xf>
    <xf numFmtId="49" fontId="11" fillId="2" borderId="10" xfId="0" applyNumberFormat="1" applyFont="1" applyFill="1" applyBorder="1" applyAlignment="1">
      <alignment horizontal="left" vertical="top" wrapText="1"/>
    </xf>
    <xf numFmtId="0" fontId="2" fillId="9" borderId="7" xfId="0" applyFont="1" applyFill="1" applyBorder="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FA71"/>
      <color rgb="FFFFCC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CA5FE12C-5571-4142-9413-A8917546E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5" name="Picture 1" descr="image001">
          <a:extLst>
            <a:ext uri="{FF2B5EF4-FFF2-40B4-BE49-F238E27FC236}">
              <a16:creationId xmlns:a16="http://schemas.microsoft.com/office/drawing/2014/main" id="{72A02AC1-7A42-478F-8E5D-9A562142D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BF8990B8-D8A9-4F72-B594-D8A6932A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3A714-A224-4F3E-9EBC-462E6CC87A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2F0B0-E429-4F5B-A9BA-CFFD9E81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4B133EE2-E33C-458A-96B9-E1D605D95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D21064EC-A65D-485C-A73D-B0C9C5806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CF3740D-1361-4120-A01D-11DDF8DE5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754E45CD-5365-47DB-ADBA-4476C9F08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342900</xdr:colOff>
      <xdr:row>0</xdr:row>
      <xdr:rowOff>120650</xdr:rowOff>
    </xdr:from>
    <xdr:to>
      <xdr:col>3</xdr:col>
      <xdr:colOff>482600</xdr:colOff>
      <xdr:row>2</xdr:row>
      <xdr:rowOff>69850</xdr:rowOff>
    </xdr:to>
    <xdr:pic>
      <xdr:nvPicPr>
        <xdr:cNvPr id="3" name="Picture 1" descr="image001">
          <a:extLst>
            <a:ext uri="{FF2B5EF4-FFF2-40B4-BE49-F238E27FC236}">
              <a16:creationId xmlns:a16="http://schemas.microsoft.com/office/drawing/2014/main" id="{A796218F-D202-4904-992B-7FA86E03F6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6D0D-243C-4038-929F-F50322C81BF0}">
  <sheetPr>
    <pageSetUpPr fitToPage="1"/>
  </sheetPr>
  <dimension ref="A1:AS61"/>
  <sheetViews>
    <sheetView zoomScale="88" workbookViewId="0">
      <selection activeCell="P34" sqref="P34"/>
    </sheetView>
  </sheetViews>
  <sheetFormatPr defaultColWidth="0" defaultRowHeight="14.4" zeroHeight="1" x14ac:dyDescent="0.3"/>
  <cols>
    <col min="1" max="4" width="8.77734375" customWidth="1"/>
    <col min="5" max="5" width="7.21875" customWidth="1"/>
    <col min="6" max="6" width="8.77734375" customWidth="1"/>
    <col min="7" max="7" width="9.44140625" customWidth="1"/>
    <col min="8" max="8" width="9.77734375" customWidth="1"/>
    <col min="9" max="15" width="8.77734375" customWidth="1"/>
    <col min="16" max="16" width="17.44140625" customWidth="1"/>
    <col min="17" max="17" width="9.5546875" customWidth="1"/>
    <col min="18" max="19" width="8.77734375" customWidth="1"/>
    <col min="20" max="45" width="0" hidden="1" customWidth="1"/>
    <col min="46" max="16384" width="8.77734375" hidden="1"/>
  </cols>
  <sheetData>
    <row r="1" spans="2:18" s="1" customFormat="1" ht="30.6" customHeight="1" x14ac:dyDescent="0.3">
      <c r="F1" s="62" t="s">
        <v>0</v>
      </c>
      <c r="G1" s="62"/>
      <c r="H1" s="62"/>
      <c r="I1" s="62"/>
      <c r="J1" s="62"/>
      <c r="K1" s="62"/>
      <c r="L1" s="62"/>
      <c r="M1" s="62"/>
      <c r="N1" s="62"/>
      <c r="O1" s="62"/>
      <c r="R1" s="5">
        <v>2026</v>
      </c>
    </row>
    <row r="2" spans="2:18" s="1" customFormat="1" ht="26.55" customHeight="1" x14ac:dyDescent="0.3">
      <c r="F2" s="62"/>
      <c r="G2" s="62"/>
      <c r="H2" s="62"/>
      <c r="I2" s="62"/>
      <c r="J2" s="62"/>
      <c r="K2" s="62"/>
      <c r="L2" s="62"/>
      <c r="M2" s="62"/>
      <c r="N2" s="62"/>
      <c r="O2" s="62"/>
    </row>
    <row r="3" spans="2:18" s="1" customFormat="1" ht="14.55" customHeight="1" x14ac:dyDescent="0.3">
      <c r="E3" s="2"/>
      <c r="F3" s="2"/>
      <c r="H3" s="63" t="s">
        <v>13</v>
      </c>
      <c r="I3" s="63"/>
      <c r="J3" s="63"/>
      <c r="K3" s="63"/>
      <c r="L3" s="63"/>
      <c r="M3" s="63"/>
      <c r="N3" s="6"/>
      <c r="O3" s="6"/>
    </row>
    <row r="4" spans="2:18" s="1" customFormat="1" ht="15.6" customHeight="1" x14ac:dyDescent="0.3">
      <c r="D4" s="3"/>
      <c r="E4" s="2"/>
      <c r="F4" s="2"/>
      <c r="I4" s="6"/>
      <c r="J4" s="6"/>
      <c r="K4" s="6"/>
      <c r="L4" s="6"/>
      <c r="M4" s="6"/>
      <c r="N4" s="6"/>
      <c r="O4" s="6"/>
    </row>
    <row r="5" spans="2:18" s="1" customFormat="1" ht="14.55" customHeight="1" x14ac:dyDescent="0.3">
      <c r="E5" s="2"/>
      <c r="F5" s="2"/>
      <c r="G5" s="70" t="s">
        <v>111</v>
      </c>
      <c r="H5" s="70"/>
      <c r="I5" s="70"/>
      <c r="J5" s="70"/>
      <c r="K5" s="70"/>
      <c r="L5" s="70"/>
      <c r="M5" s="70"/>
      <c r="N5" s="70"/>
      <c r="O5" s="6"/>
      <c r="P5" s="6"/>
    </row>
    <row r="6" spans="2:18" s="1" customFormat="1" ht="14.55" customHeight="1" x14ac:dyDescent="0.3">
      <c r="E6" s="2"/>
      <c r="F6" s="2"/>
      <c r="H6" s="57"/>
      <c r="I6" s="57"/>
      <c r="J6" s="57"/>
      <c r="K6" s="57"/>
      <c r="L6" s="57"/>
      <c r="M6" s="57"/>
      <c r="N6" s="57"/>
      <c r="O6" s="6"/>
      <c r="P6" s="6"/>
    </row>
    <row r="7" spans="2:18" s="1" customFormat="1" ht="22.05" customHeight="1" thickBot="1" x14ac:dyDescent="0.35">
      <c r="G7" s="64" t="s">
        <v>3</v>
      </c>
      <c r="H7" s="65"/>
      <c r="I7" s="77" t="s">
        <v>125</v>
      </c>
      <c r="J7" s="78"/>
      <c r="K7" s="78"/>
      <c r="L7" s="78"/>
      <c r="M7" s="78"/>
      <c r="P7" s="4"/>
    </row>
    <row r="8" spans="2:18" s="1" customFormat="1" ht="23.1" customHeight="1" thickTop="1" thickBot="1" x14ac:dyDescent="0.35">
      <c r="G8" s="64" t="s">
        <v>9</v>
      </c>
      <c r="H8" s="65"/>
      <c r="I8" s="68" t="s">
        <v>120</v>
      </c>
      <c r="J8" s="69"/>
      <c r="K8" s="69"/>
      <c r="L8" s="69"/>
      <c r="M8" s="69"/>
      <c r="P8" s="4"/>
    </row>
    <row r="9" spans="2:18" s="1" customFormat="1" ht="22.5" customHeight="1" thickTop="1" thickBot="1" x14ac:dyDescent="0.35">
      <c r="G9" s="64" t="s">
        <v>5</v>
      </c>
      <c r="H9" s="65"/>
      <c r="I9" s="68" t="s">
        <v>126</v>
      </c>
      <c r="J9" s="69"/>
      <c r="K9" s="69"/>
      <c r="L9" s="69"/>
      <c r="M9" s="69"/>
    </row>
    <row r="10" spans="2:18" s="1" customFormat="1" ht="23.55" customHeight="1" thickTop="1" thickBot="1" x14ac:dyDescent="0.35">
      <c r="F10" s="9"/>
      <c r="H10" s="12"/>
      <c r="I10" s="10"/>
      <c r="J10" s="10"/>
      <c r="K10" s="10"/>
      <c r="L10" s="10"/>
      <c r="M10" s="10"/>
      <c r="N10" s="7"/>
    </row>
    <row r="11" spans="2:18" s="1" customFormat="1" ht="21" customHeight="1" thickTop="1" thickBot="1" x14ac:dyDescent="0.35">
      <c r="D11" s="32" t="s">
        <v>69</v>
      </c>
      <c r="F11" s="81" t="s">
        <v>66</v>
      </c>
      <c r="G11" s="81"/>
      <c r="H11" s="80" t="s">
        <v>59</v>
      </c>
      <c r="I11" s="80"/>
      <c r="J11" s="80" t="s">
        <v>65</v>
      </c>
      <c r="K11" s="80"/>
      <c r="L11" s="80" t="s">
        <v>68</v>
      </c>
      <c r="M11" s="80"/>
      <c r="N11" s="80" t="s">
        <v>67</v>
      </c>
      <c r="O11" s="80"/>
    </row>
    <row r="12" spans="2:18" s="1" customFormat="1" ht="20.100000000000001" customHeight="1" thickTop="1" x14ac:dyDescent="0.3"/>
    <row r="13" spans="2:18" s="1" customFormat="1" ht="18" customHeight="1" x14ac:dyDescent="0.3">
      <c r="B13" s="85" t="s">
        <v>40</v>
      </c>
      <c r="C13" s="85"/>
      <c r="D13" s="85"/>
      <c r="E13" s="85"/>
      <c r="F13" s="85"/>
      <c r="G13" s="85"/>
      <c r="H13" s="85"/>
      <c r="I13" s="85"/>
      <c r="J13" s="85"/>
      <c r="K13" s="85"/>
      <c r="L13" s="85"/>
      <c r="M13" s="85"/>
      <c r="N13" s="85"/>
      <c r="O13" s="85"/>
      <c r="P13" s="85"/>
    </row>
    <row r="14" spans="2:18" s="1" customFormat="1" ht="66.599999999999994" customHeight="1" x14ac:dyDescent="0.3">
      <c r="B14" s="86" t="s">
        <v>4</v>
      </c>
      <c r="C14" s="87"/>
      <c r="D14" s="87"/>
      <c r="E14" s="87"/>
      <c r="F14" s="87"/>
      <c r="G14" s="87"/>
      <c r="H14" s="87"/>
      <c r="I14" s="87"/>
      <c r="J14" s="87"/>
      <c r="K14" s="87"/>
      <c r="L14" s="87"/>
      <c r="M14" s="87"/>
      <c r="N14" s="87"/>
      <c r="O14" s="87"/>
      <c r="P14" s="87"/>
    </row>
    <row r="15" spans="2:18" s="1" customFormat="1" ht="23.1" customHeight="1" thickBot="1" x14ac:dyDescent="0.35">
      <c r="G15" s="76" t="s">
        <v>6</v>
      </c>
      <c r="H15" s="76"/>
      <c r="I15" s="77" t="s">
        <v>121</v>
      </c>
      <c r="J15" s="78"/>
      <c r="K15" s="78"/>
      <c r="L15" s="78"/>
      <c r="M15" s="78"/>
    </row>
    <row r="16" spans="2:18" s="1" customFormat="1" ht="23.1" customHeight="1" thickTop="1" thickBot="1" x14ac:dyDescent="0.35">
      <c r="G16" s="76" t="s">
        <v>7</v>
      </c>
      <c r="H16" s="76"/>
      <c r="I16" s="79">
        <v>46084</v>
      </c>
      <c r="J16" s="78"/>
      <c r="K16" s="78"/>
      <c r="L16" s="78"/>
      <c r="M16" s="78"/>
    </row>
    <row r="17" spans="1:45" ht="23.1" customHeight="1" thickTop="1" thickBot="1" x14ac:dyDescent="0.35">
      <c r="A17" s="1"/>
      <c r="B17" s="1"/>
      <c r="C17" s="1"/>
      <c r="D17" s="1"/>
      <c r="E17" s="1"/>
      <c r="F17" s="1"/>
      <c r="G17" s="76" t="s">
        <v>1</v>
      </c>
      <c r="H17" s="83"/>
      <c r="I17" s="77" t="s">
        <v>118</v>
      </c>
      <c r="J17" s="78"/>
      <c r="K17" s="78"/>
      <c r="L17" s="78"/>
      <c r="M17" s="78"/>
      <c r="N17" s="1"/>
      <c r="O17" s="1"/>
      <c r="P17" s="1"/>
      <c r="Q17" s="1"/>
      <c r="R17" s="1"/>
      <c r="S17" s="1"/>
      <c r="T17" s="1"/>
      <c r="U17" s="1"/>
      <c r="V17" s="1"/>
      <c r="W17" s="1"/>
      <c r="X17" s="1"/>
      <c r="Y17" s="1"/>
      <c r="Z17" s="1"/>
      <c r="AA17" s="1" t="s">
        <v>10</v>
      </c>
      <c r="AB17" s="1"/>
      <c r="AC17" s="1"/>
      <c r="AD17" s="1"/>
      <c r="AE17" s="1"/>
      <c r="AF17" s="1"/>
      <c r="AG17" s="1"/>
      <c r="AH17" s="1"/>
      <c r="AI17" s="1"/>
      <c r="AJ17" s="1"/>
      <c r="AK17" s="1"/>
      <c r="AL17" s="1"/>
      <c r="AM17" s="1"/>
      <c r="AN17" s="1"/>
      <c r="AO17" s="1"/>
      <c r="AP17" s="1"/>
      <c r="AQ17" s="1"/>
      <c r="AR17" s="1"/>
      <c r="AS17" s="1"/>
    </row>
    <row r="18" spans="1:45" ht="23.1" customHeight="1" thickTop="1" thickBot="1" x14ac:dyDescent="0.35">
      <c r="A18" s="1"/>
      <c r="B18" s="1"/>
      <c r="C18" s="1"/>
      <c r="D18" s="1"/>
      <c r="E18" s="1"/>
      <c r="F18" s="1"/>
      <c r="G18" s="76" t="s">
        <v>2</v>
      </c>
      <c r="H18" s="83"/>
      <c r="I18" s="77" t="s">
        <v>117</v>
      </c>
      <c r="J18" s="78"/>
      <c r="K18" s="78"/>
      <c r="L18" s="78"/>
      <c r="M18" s="78"/>
      <c r="N18" s="1"/>
      <c r="O18" s="1"/>
      <c r="P18" s="1"/>
      <c r="Q18" s="1"/>
      <c r="R18" s="1"/>
      <c r="S18" s="29" t="s">
        <v>10</v>
      </c>
      <c r="T18" s="1"/>
      <c r="U18" s="1"/>
      <c r="V18" s="1"/>
      <c r="W18" s="1"/>
      <c r="X18" s="1"/>
      <c r="Y18" s="1"/>
      <c r="Z18" s="1"/>
      <c r="AA18" s="1" t="s">
        <v>11</v>
      </c>
      <c r="AB18" s="1"/>
      <c r="AC18" s="1"/>
      <c r="AD18" s="1"/>
      <c r="AE18" s="1"/>
      <c r="AF18" s="1"/>
      <c r="AG18" s="1"/>
      <c r="AH18" s="1"/>
      <c r="AI18" s="1"/>
      <c r="AJ18" s="1"/>
      <c r="AK18" s="1"/>
      <c r="AL18" s="1"/>
      <c r="AM18" s="1"/>
      <c r="AN18" s="1"/>
      <c r="AO18" s="1"/>
      <c r="AP18" s="1"/>
      <c r="AQ18" s="1"/>
      <c r="AR18" s="1"/>
      <c r="AS18" s="1"/>
    </row>
    <row r="19" spans="1:45" ht="23.1" customHeight="1" thickTop="1" thickBot="1" x14ac:dyDescent="0.35">
      <c r="A19" s="1"/>
      <c r="B19" s="1"/>
      <c r="C19" s="1"/>
      <c r="D19" s="1"/>
      <c r="E19" s="1"/>
      <c r="F19" s="1"/>
      <c r="G19" s="76" t="s">
        <v>8</v>
      </c>
      <c r="H19" s="83"/>
      <c r="I19" s="77" t="s">
        <v>10</v>
      </c>
      <c r="J19" s="78"/>
      <c r="K19" s="78"/>
      <c r="L19" s="78"/>
      <c r="M19" s="78"/>
      <c r="N19" s="1"/>
      <c r="O19" s="1"/>
      <c r="P19" s="1"/>
      <c r="Q19" s="1"/>
      <c r="R19" s="1"/>
      <c r="S19" s="29" t="s">
        <v>11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s="1" customFormat="1" ht="22.05" customHeight="1" thickTop="1" x14ac:dyDescent="0.3">
      <c r="S20" s="29"/>
    </row>
    <row r="21" spans="1:45" s="1" customFormat="1" x14ac:dyDescent="0.3">
      <c r="B21" s="85" t="s">
        <v>12</v>
      </c>
      <c r="C21" s="85"/>
      <c r="D21" s="85"/>
      <c r="E21" s="85"/>
      <c r="F21" s="85"/>
      <c r="G21" s="85"/>
      <c r="H21" s="85"/>
      <c r="I21" s="85"/>
      <c r="J21" s="85"/>
      <c r="K21" s="85"/>
      <c r="L21" s="85"/>
      <c r="M21" s="85"/>
      <c r="N21" s="85"/>
      <c r="O21" s="85"/>
      <c r="P21" s="85"/>
    </row>
    <row r="22" spans="1:45" s="1" customFormat="1" ht="2.5499999999999998" customHeight="1" x14ac:dyDescent="0.3">
      <c r="B22" s="8"/>
      <c r="C22" s="8"/>
      <c r="D22" s="8"/>
      <c r="E22" s="8"/>
      <c r="F22" s="8"/>
      <c r="G22" s="8"/>
      <c r="H22" s="8"/>
      <c r="I22" s="8"/>
      <c r="J22" s="8"/>
      <c r="K22" s="8"/>
      <c r="L22" s="8"/>
      <c r="M22" s="8"/>
      <c r="N22" s="8"/>
      <c r="O22" s="8"/>
      <c r="P22" s="8"/>
    </row>
    <row r="23" spans="1:45" s="1" customFormat="1" x14ac:dyDescent="0.3">
      <c r="B23" s="84"/>
      <c r="C23" s="84"/>
      <c r="D23" s="84"/>
      <c r="E23" s="84"/>
      <c r="F23" s="84"/>
      <c r="G23" s="84"/>
      <c r="H23" s="84"/>
      <c r="I23" s="84"/>
      <c r="J23" s="84"/>
      <c r="K23" s="84"/>
      <c r="L23" s="84"/>
      <c r="M23" s="84"/>
      <c r="N23" s="84"/>
      <c r="O23" s="84"/>
      <c r="P23" s="20" t="s">
        <v>14</v>
      </c>
    </row>
    <row r="24" spans="1:45" s="1" customFormat="1" ht="35.549999999999997" customHeight="1" x14ac:dyDescent="0.3">
      <c r="B24" s="82" t="s">
        <v>72</v>
      </c>
      <c r="C24" s="82"/>
      <c r="D24" s="82"/>
      <c r="E24" s="82"/>
      <c r="F24" s="82"/>
      <c r="G24" s="82"/>
      <c r="H24" s="82"/>
      <c r="I24" s="82"/>
      <c r="J24" s="82"/>
      <c r="K24" s="82"/>
      <c r="L24" s="82"/>
      <c r="M24" s="82"/>
      <c r="N24" s="82"/>
      <c r="O24" s="82"/>
      <c r="P24" s="21" t="s">
        <v>119</v>
      </c>
    </row>
    <row r="25" spans="1:45" s="1" customFormat="1" ht="38.549999999999997" customHeight="1" x14ac:dyDescent="0.3">
      <c r="B25" s="82" t="s">
        <v>79</v>
      </c>
      <c r="C25" s="82"/>
      <c r="D25" s="82"/>
      <c r="E25" s="82"/>
      <c r="F25" s="82"/>
      <c r="G25" s="82"/>
      <c r="H25" s="82"/>
      <c r="I25" s="82"/>
      <c r="J25" s="82"/>
      <c r="K25" s="82"/>
      <c r="L25" s="82"/>
      <c r="M25" s="82"/>
      <c r="N25" s="82"/>
      <c r="O25" s="82"/>
      <c r="P25" s="22">
        <v>2</v>
      </c>
    </row>
    <row r="26" spans="1:45" s="1" customFormat="1" ht="38.549999999999997" customHeight="1" x14ac:dyDescent="0.3">
      <c r="B26" s="82" t="s">
        <v>86</v>
      </c>
      <c r="C26" s="82"/>
      <c r="D26" s="82"/>
      <c r="E26" s="82"/>
      <c r="F26" s="82"/>
      <c r="G26" s="82"/>
      <c r="H26" s="82"/>
      <c r="I26" s="82"/>
      <c r="J26" s="82"/>
      <c r="K26" s="82"/>
      <c r="L26" s="82"/>
      <c r="M26" s="82"/>
      <c r="N26" s="82"/>
      <c r="O26" s="82"/>
      <c r="P26" s="22">
        <v>5</v>
      </c>
    </row>
    <row r="27" spans="1:45" s="1" customFormat="1" ht="15.6" customHeight="1" x14ac:dyDescent="0.3"/>
    <row r="28" spans="1:45" s="1" customFormat="1" x14ac:dyDescent="0.3"/>
    <row r="29" spans="1:45" s="1" customFormat="1" ht="20.100000000000001" customHeight="1" x14ac:dyDescent="0.3">
      <c r="B29" s="85" t="s">
        <v>97</v>
      </c>
      <c r="C29" s="85"/>
      <c r="D29" s="85"/>
      <c r="E29" s="85"/>
      <c r="F29" s="85"/>
      <c r="G29" s="85"/>
      <c r="H29" s="85"/>
      <c r="I29" s="85"/>
      <c r="J29" s="85"/>
      <c r="K29" s="85"/>
      <c r="L29" s="85"/>
      <c r="M29" s="85"/>
      <c r="N29" s="85"/>
      <c r="O29" s="85"/>
      <c r="P29" s="85"/>
    </row>
    <row r="30" spans="1:45" s="1" customFormat="1" ht="45.6" customHeight="1" x14ac:dyDescent="0.3">
      <c r="B30" s="88" t="s">
        <v>122</v>
      </c>
      <c r="C30" s="89"/>
      <c r="D30" s="89"/>
      <c r="E30" s="89"/>
      <c r="F30" s="89"/>
      <c r="G30" s="89"/>
      <c r="H30" s="89"/>
      <c r="I30" s="89"/>
      <c r="J30" s="89"/>
      <c r="K30" s="89"/>
      <c r="L30" s="89"/>
      <c r="M30" s="89"/>
      <c r="N30" s="89"/>
      <c r="O30" s="89"/>
      <c r="P30" s="90"/>
    </row>
    <row r="31" spans="1:45" s="1" customFormat="1" ht="45.6" customHeight="1" x14ac:dyDescent="0.3">
      <c r="B31" s="88" t="s">
        <v>123</v>
      </c>
      <c r="C31" s="89"/>
      <c r="D31" s="89"/>
      <c r="E31" s="89"/>
      <c r="F31" s="89"/>
      <c r="G31" s="89"/>
      <c r="H31" s="89"/>
      <c r="I31" s="89"/>
      <c r="J31" s="89"/>
      <c r="K31" s="89"/>
      <c r="L31" s="89"/>
      <c r="M31" s="89"/>
      <c r="N31" s="89"/>
      <c r="O31" s="89"/>
      <c r="P31" s="90"/>
    </row>
    <row r="32" spans="1:45" s="1" customFormat="1" ht="45.6" customHeight="1" x14ac:dyDescent="0.3">
      <c r="B32" s="88" t="s">
        <v>124</v>
      </c>
      <c r="C32" s="89"/>
      <c r="D32" s="89"/>
      <c r="E32" s="89"/>
      <c r="F32" s="89"/>
      <c r="G32" s="89"/>
      <c r="H32" s="89"/>
      <c r="I32" s="89"/>
      <c r="J32" s="89"/>
      <c r="K32" s="89"/>
      <c r="L32" s="89"/>
      <c r="M32" s="89"/>
      <c r="N32" s="89"/>
      <c r="O32" s="89"/>
      <c r="P32" s="90"/>
    </row>
    <row r="33" spans="16:17" s="1" customFormat="1" x14ac:dyDescent="0.3"/>
    <row r="34" spans="16:17" s="1" customFormat="1" ht="18.600000000000001" customHeight="1" x14ac:dyDescent="0.3">
      <c r="P34" s="30" t="s">
        <v>60</v>
      </c>
      <c r="Q34" s="31"/>
    </row>
    <row r="35" spans="16:17" s="1" customFormat="1" x14ac:dyDescent="0.3"/>
    <row r="36" spans="16:17" s="1" customFormat="1" hidden="1" x14ac:dyDescent="0.3"/>
    <row r="37" spans="16:17" s="1" customFormat="1" hidden="1" x14ac:dyDescent="0.3"/>
    <row r="38" spans="16:17" s="1" customFormat="1" hidden="1" x14ac:dyDescent="0.3"/>
    <row r="39" spans="16:17" s="1" customFormat="1" hidden="1" x14ac:dyDescent="0.3"/>
    <row r="40" spans="16:17" s="1" customFormat="1" hidden="1" x14ac:dyDescent="0.3"/>
    <row r="41" spans="16:17" s="1" customFormat="1" hidden="1" x14ac:dyDescent="0.3"/>
    <row r="42" spans="16:17" s="1" customFormat="1" hidden="1" x14ac:dyDescent="0.3"/>
    <row r="43" spans="16:17" s="1" customFormat="1" hidden="1" x14ac:dyDescent="0.3"/>
    <row r="44" spans="16:17" s="1" customFormat="1" hidden="1" x14ac:dyDescent="0.3"/>
    <row r="45" spans="16:17" s="1" customFormat="1" hidden="1" x14ac:dyDescent="0.3"/>
    <row r="46" spans="16:17" s="1" customFormat="1" hidden="1" x14ac:dyDescent="0.3"/>
    <row r="47" spans="16:17" s="1" customFormat="1" hidden="1" x14ac:dyDescent="0.3"/>
    <row r="48" spans="16:17" s="1" customFormat="1" hidden="1" x14ac:dyDescent="0.3"/>
    <row r="49" spans="2:13" s="1" customFormat="1" hidden="1" x14ac:dyDescent="0.3"/>
    <row r="50" spans="2:13" s="1" customFormat="1" hidden="1" x14ac:dyDescent="0.3"/>
    <row r="52" spans="2:13" s="1" customFormat="1" x14ac:dyDescent="0.3">
      <c r="B52" s="39">
        <v>1</v>
      </c>
      <c r="C52" s="53" t="s">
        <v>73</v>
      </c>
      <c r="J52" s="38">
        <v>2</v>
      </c>
      <c r="K52" s="53" t="s">
        <v>80</v>
      </c>
    </row>
    <row r="53" spans="2:13" s="1" customFormat="1" x14ac:dyDescent="0.3"/>
    <row r="54" spans="2:13" s="1" customFormat="1" x14ac:dyDescent="0.3">
      <c r="C54" s="55" t="s">
        <v>74</v>
      </c>
      <c r="K54" s="54">
        <v>5</v>
      </c>
      <c r="L54" s="55" t="s">
        <v>85</v>
      </c>
      <c r="M54" s="25"/>
    </row>
    <row r="55" spans="2:13" s="1" customFormat="1" x14ac:dyDescent="0.3">
      <c r="C55" s="55" t="s">
        <v>75</v>
      </c>
      <c r="K55" s="54">
        <v>4</v>
      </c>
      <c r="L55" s="55" t="s">
        <v>84</v>
      </c>
      <c r="M55" s="25"/>
    </row>
    <row r="56" spans="2:13" s="1" customFormat="1" x14ac:dyDescent="0.3">
      <c r="C56" s="55" t="s">
        <v>76</v>
      </c>
      <c r="K56" s="54">
        <v>3</v>
      </c>
      <c r="L56" s="55" t="s">
        <v>82</v>
      </c>
      <c r="M56" s="25"/>
    </row>
    <row r="57" spans="2:13" s="1" customFormat="1" x14ac:dyDescent="0.3">
      <c r="C57" s="55" t="s">
        <v>77</v>
      </c>
      <c r="K57" s="54">
        <v>2</v>
      </c>
      <c r="L57" s="55" t="s">
        <v>83</v>
      </c>
      <c r="M57" s="25"/>
    </row>
    <row r="58" spans="2:13" s="1" customFormat="1" x14ac:dyDescent="0.3">
      <c r="C58" s="55" t="s">
        <v>78</v>
      </c>
      <c r="K58" s="54">
        <v>1</v>
      </c>
      <c r="L58" s="55" t="s">
        <v>81</v>
      </c>
      <c r="M58" s="25"/>
    </row>
    <row r="59" spans="2:13" s="1" customFormat="1" x14ac:dyDescent="0.3"/>
    <row r="60" spans="2:13" s="1" customFormat="1" x14ac:dyDescent="0.3"/>
    <row r="61" spans="2:13" x14ac:dyDescent="0.3"/>
  </sheetData>
  <mergeCells count="35">
    <mergeCell ref="B29:P29"/>
    <mergeCell ref="B30:P30"/>
    <mergeCell ref="B32:P32"/>
    <mergeCell ref="B31:P31"/>
    <mergeCell ref="B26:O26"/>
    <mergeCell ref="F1:O2"/>
    <mergeCell ref="B21:P21"/>
    <mergeCell ref="B24:O24"/>
    <mergeCell ref="I19:M19"/>
    <mergeCell ref="I7:M7"/>
    <mergeCell ref="I8:M8"/>
    <mergeCell ref="I9:M9"/>
    <mergeCell ref="H3:M3"/>
    <mergeCell ref="G7:H7"/>
    <mergeCell ref="G8:H8"/>
    <mergeCell ref="G9:H9"/>
    <mergeCell ref="G15:H15"/>
    <mergeCell ref="G16:H16"/>
    <mergeCell ref="B13:P13"/>
    <mergeCell ref="B14:P14"/>
    <mergeCell ref="G5:N5"/>
    <mergeCell ref="B25:O25"/>
    <mergeCell ref="F11:G11"/>
    <mergeCell ref="H11:I11"/>
    <mergeCell ref="J11:K11"/>
    <mergeCell ref="L11:M11"/>
    <mergeCell ref="N11:O11"/>
    <mergeCell ref="G17:H17"/>
    <mergeCell ref="G18:H18"/>
    <mergeCell ref="G19:H19"/>
    <mergeCell ref="I15:M15"/>
    <mergeCell ref="I16:M16"/>
    <mergeCell ref="I17:M17"/>
    <mergeCell ref="I18:M18"/>
    <mergeCell ref="B23:O23"/>
  </mergeCells>
  <dataValidations count="1">
    <dataValidation type="list" allowBlank="1" showInputMessage="1" showErrorMessage="1" sqref="I19:M19" xr:uid="{5C4B3EC7-BB10-4A2B-B291-A1DEEC504EB3}">
      <formula1>$S$18:$S$19</formula1>
    </dataValidation>
  </dataValidations>
  <hyperlinks>
    <hyperlink ref="P34" location="'Reaction(B)'!A1" display="►REACTION" xr:uid="{D62A6712-2EC2-48DB-8C2F-3389CF67923F}"/>
    <hyperlink ref="H11" location="'Retention(D)'!A1" display="►RETENTION" xr:uid="{F1D39F8D-6273-4BB4-BB21-BC23181959E5}"/>
    <hyperlink ref="H11:I11" location="'Reaction(B)'!A1" display="REACTION" xr:uid="{CC60BB84-55E3-44C0-8D9A-FB8AC6E638B5}"/>
    <hyperlink ref="J11:K11" location="'Learning(C)'!A1" display="LEARNING" xr:uid="{0D67B4B4-16C3-48B8-ACE5-80B2A0A7EB64}"/>
    <hyperlink ref="L11:M11" location="'Retention(D)'!A1" display="RETENTION" xr:uid="{243D0903-02DD-492C-8AA3-0FAD02AA39ED}"/>
    <hyperlink ref="N11:O11" location="'Implementation(E)'!A1" display="IMPLEMENTATION" xr:uid="{7B4B1572-17B8-43D6-A250-EA5D541E9599}"/>
  </hyperlinks>
  <pageMargins left="0.7" right="0.7" top="0.75" bottom="0.75" header="0.3" footer="0.3"/>
  <pageSetup scale="66"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D8BA-8F1C-4C27-A064-4C016D7869FD}">
  <sheetPr>
    <pageSetUpPr fitToPage="1"/>
  </sheetPr>
  <dimension ref="B1:T57"/>
  <sheetViews>
    <sheetView topLeftCell="A20" workbookViewId="0"/>
  </sheetViews>
  <sheetFormatPr defaultColWidth="8.77734375" defaultRowHeight="14.4" zeroHeight="1" x14ac:dyDescent="0.3"/>
  <cols>
    <col min="1" max="4" width="8.77734375" style="1"/>
    <col min="5" max="5" width="7.21875" style="1" customWidth="1"/>
    <col min="6" max="6" width="8.77734375" style="1"/>
    <col min="7" max="7" width="9.44140625" style="1" customWidth="1"/>
    <col min="8" max="8" width="9.77734375" style="1" customWidth="1"/>
    <col min="9" max="17" width="8.77734375" style="1"/>
    <col min="18" max="18" width="10.21875" style="1" bestFit="1" customWidth="1"/>
    <col min="19" max="16384" width="8.77734375" style="1"/>
  </cols>
  <sheetData>
    <row r="1" spans="2:19" ht="30.6" customHeight="1" x14ac:dyDescent="0.3">
      <c r="F1" s="62" t="s">
        <v>0</v>
      </c>
      <c r="G1" s="62"/>
      <c r="H1" s="62"/>
      <c r="I1" s="62"/>
      <c r="J1" s="62"/>
      <c r="K1" s="62"/>
      <c r="L1" s="62"/>
      <c r="M1" s="62"/>
      <c r="N1" s="62"/>
      <c r="O1" s="62"/>
      <c r="S1" s="5">
        <v>2024</v>
      </c>
    </row>
    <row r="2" spans="2:19" ht="26.55" customHeight="1" x14ac:dyDescent="0.3">
      <c r="F2" s="62"/>
      <c r="G2" s="62"/>
      <c r="H2" s="62"/>
      <c r="I2" s="62"/>
      <c r="J2" s="62"/>
      <c r="K2" s="62"/>
      <c r="L2" s="62"/>
      <c r="M2" s="62"/>
      <c r="N2" s="62"/>
      <c r="O2" s="62"/>
    </row>
    <row r="3" spans="2:19" ht="14.55" customHeight="1" x14ac:dyDescent="0.3">
      <c r="E3" s="2"/>
      <c r="F3" s="2"/>
      <c r="H3" s="63" t="s">
        <v>42</v>
      </c>
      <c r="I3" s="63"/>
      <c r="J3" s="63"/>
      <c r="K3" s="63"/>
      <c r="L3" s="63"/>
      <c r="M3" s="63"/>
      <c r="N3" s="6"/>
      <c r="O3" s="6"/>
      <c r="P3" s="6"/>
    </row>
    <row r="4" spans="2:19" ht="14.55" customHeight="1" x14ac:dyDescent="0.3">
      <c r="E4" s="2"/>
      <c r="F4" s="2"/>
      <c r="H4" s="56"/>
      <c r="I4" s="56"/>
      <c r="J4" s="56"/>
      <c r="K4" s="56"/>
      <c r="L4" s="56"/>
      <c r="M4" s="56"/>
      <c r="N4" s="6"/>
      <c r="O4" s="6"/>
      <c r="P4" s="6"/>
    </row>
    <row r="5" spans="2:19" ht="14.55" customHeight="1" x14ac:dyDescent="0.3">
      <c r="E5" s="2"/>
      <c r="F5" s="2"/>
      <c r="H5" s="70" t="s">
        <v>110</v>
      </c>
      <c r="I5" s="70"/>
      <c r="J5" s="70"/>
      <c r="K5" s="70"/>
      <c r="L5" s="70"/>
      <c r="M5" s="70"/>
      <c r="N5" s="70"/>
      <c r="O5" s="6"/>
      <c r="P5" s="6"/>
    </row>
    <row r="6" spans="2:19" ht="13.5" customHeight="1" x14ac:dyDescent="0.3">
      <c r="D6" s="3"/>
      <c r="E6" s="2"/>
      <c r="F6" s="2"/>
      <c r="I6" s="6"/>
      <c r="J6" s="6"/>
      <c r="K6" s="6"/>
      <c r="L6" s="6"/>
      <c r="M6" s="6"/>
      <c r="N6" s="6"/>
      <c r="O6" s="6"/>
      <c r="P6" s="6"/>
    </row>
    <row r="7" spans="2:19" ht="22.05" customHeight="1" thickBot="1" x14ac:dyDescent="0.35">
      <c r="G7" s="64" t="s">
        <v>3</v>
      </c>
      <c r="H7" s="65"/>
      <c r="I7" s="66" t="str">
        <f>'Self-Assessment Form(A)'!I7:M7</f>
        <v>Anil kumar P</v>
      </c>
      <c r="J7" s="67"/>
      <c r="K7" s="67"/>
      <c r="L7" s="67"/>
      <c r="M7" s="67"/>
      <c r="Q7" s="4"/>
    </row>
    <row r="8" spans="2:19" ht="23.1" customHeight="1" thickTop="1" thickBot="1" x14ac:dyDescent="0.35">
      <c r="G8" s="64" t="s">
        <v>9</v>
      </c>
      <c r="H8" s="65"/>
      <c r="I8" s="68" t="str">
        <f>'Self-Assessment Form(A)'!I8:M8</f>
        <v>PSA - GTOS</v>
      </c>
      <c r="J8" s="69"/>
      <c r="K8" s="69"/>
      <c r="L8" s="69"/>
      <c r="M8" s="69"/>
      <c r="Q8" s="4"/>
    </row>
    <row r="9" spans="2:19" ht="22.5" customHeight="1" thickTop="1" thickBot="1" x14ac:dyDescent="0.35">
      <c r="G9" s="64" t="s">
        <v>5</v>
      </c>
      <c r="H9" s="65"/>
      <c r="I9" s="68" t="str">
        <f>'Self-Assessment Form(A)'!I9:M9</f>
        <v>Seniro Software Engineer-2</v>
      </c>
      <c r="J9" s="69"/>
      <c r="K9" s="69"/>
      <c r="L9" s="69"/>
      <c r="M9" s="69"/>
    </row>
    <row r="10" spans="2:19" ht="19.5" customHeight="1" thickTop="1" x14ac:dyDescent="0.3">
      <c r="Q10" s="11"/>
    </row>
    <row r="11" spans="2:19" ht="23.1" customHeight="1" thickBot="1" x14ac:dyDescent="0.35">
      <c r="G11" s="76" t="s">
        <v>6</v>
      </c>
      <c r="H11" s="76"/>
      <c r="I11" s="77" t="str">
        <f>'Self-Assessment Form(A)'!I15:M15</f>
        <v>Angular</v>
      </c>
      <c r="J11" s="78"/>
      <c r="K11" s="78"/>
      <c r="L11" s="78"/>
      <c r="M11" s="78"/>
    </row>
    <row r="12" spans="2:19" ht="23.1" customHeight="1" thickTop="1" thickBot="1" x14ac:dyDescent="0.35">
      <c r="G12" s="76" t="s">
        <v>7</v>
      </c>
      <c r="H12" s="76"/>
      <c r="I12" s="79">
        <f>'Self-Assessment Form(A)'!I16:M16</f>
        <v>46084</v>
      </c>
      <c r="J12" s="92"/>
      <c r="K12" s="92"/>
      <c r="L12" s="92"/>
      <c r="M12" s="92"/>
    </row>
    <row r="13" spans="2:19" ht="23.1" customHeight="1" thickTop="1" thickBot="1" x14ac:dyDescent="0.35"/>
    <row r="14" spans="2:19" ht="21" customHeight="1" thickTop="1" thickBot="1" x14ac:dyDescent="0.35">
      <c r="D14" s="32" t="s">
        <v>69</v>
      </c>
      <c r="F14" s="80" t="s">
        <v>12</v>
      </c>
      <c r="G14" s="80"/>
      <c r="H14" s="81" t="s">
        <v>60</v>
      </c>
      <c r="I14" s="81"/>
      <c r="J14" s="80" t="s">
        <v>65</v>
      </c>
      <c r="K14" s="80"/>
      <c r="L14" s="80" t="s">
        <v>68</v>
      </c>
      <c r="M14" s="80"/>
      <c r="N14" s="80" t="s">
        <v>67</v>
      </c>
      <c r="O14" s="80"/>
      <c r="Q14" s="11"/>
    </row>
    <row r="15" spans="2:19" ht="22.05" customHeight="1" thickTop="1" x14ac:dyDescent="0.3"/>
    <row r="16" spans="2:19" x14ac:dyDescent="0.3">
      <c r="B16" s="14"/>
      <c r="C16" s="14"/>
      <c r="D16" s="14"/>
      <c r="E16" s="14"/>
      <c r="F16" s="14"/>
      <c r="G16" s="14"/>
      <c r="H16" s="14"/>
      <c r="I16" s="14"/>
      <c r="J16" s="14"/>
      <c r="K16" s="14"/>
      <c r="L16" s="14"/>
      <c r="M16" s="14"/>
      <c r="N16" s="72" t="s">
        <v>116</v>
      </c>
      <c r="O16" s="72"/>
      <c r="P16" s="72"/>
      <c r="Q16" s="72"/>
      <c r="R16" s="72"/>
    </row>
    <row r="17" spans="2:20" ht="3.6" customHeight="1" x14ac:dyDescent="0.3"/>
    <row r="18" spans="2:20" x14ac:dyDescent="0.3">
      <c r="B18" s="14" t="s">
        <v>17</v>
      </c>
      <c r="C18" s="14"/>
      <c r="D18" s="14"/>
      <c r="E18" s="14"/>
      <c r="F18" s="14"/>
      <c r="G18" s="14"/>
      <c r="H18" s="14"/>
      <c r="I18" s="14"/>
      <c r="J18" s="14"/>
      <c r="K18" s="14"/>
      <c r="L18" s="14"/>
      <c r="M18" s="14"/>
      <c r="N18" s="14"/>
      <c r="O18" s="13"/>
      <c r="P18" s="13"/>
      <c r="Q18" s="13"/>
      <c r="R18" s="13" t="s">
        <v>92</v>
      </c>
    </row>
    <row r="19" spans="2:20" ht="24" customHeight="1" x14ac:dyDescent="0.3">
      <c r="B19" s="15">
        <v>1</v>
      </c>
      <c r="C19" s="73" t="s">
        <v>19</v>
      </c>
      <c r="D19" s="74"/>
      <c r="E19" s="74"/>
      <c r="F19" s="74"/>
      <c r="G19" s="74"/>
      <c r="H19" s="74"/>
      <c r="I19" s="74"/>
      <c r="J19" s="74"/>
      <c r="K19" s="74"/>
      <c r="L19" s="74"/>
      <c r="M19" s="74"/>
      <c r="N19" s="74"/>
      <c r="O19" s="74"/>
      <c r="P19" s="74"/>
      <c r="Q19" s="75"/>
      <c r="R19" s="15">
        <v>5</v>
      </c>
    </row>
    <row r="20" spans="2:20" ht="24" customHeight="1" x14ac:dyDescent="0.3">
      <c r="B20" s="15">
        <v>2</v>
      </c>
      <c r="C20" s="73" t="s">
        <v>29</v>
      </c>
      <c r="D20" s="74"/>
      <c r="E20" s="74"/>
      <c r="F20" s="74"/>
      <c r="G20" s="74"/>
      <c r="H20" s="74"/>
      <c r="I20" s="74"/>
      <c r="J20" s="74"/>
      <c r="K20" s="74"/>
      <c r="L20" s="74"/>
      <c r="M20" s="74"/>
      <c r="N20" s="74"/>
      <c r="O20" s="74"/>
      <c r="P20" s="74"/>
      <c r="Q20" s="75"/>
      <c r="R20" s="15">
        <v>5</v>
      </c>
    </row>
    <row r="21" spans="2:20" ht="24" customHeight="1" x14ac:dyDescent="0.3">
      <c r="B21" s="15">
        <v>3</v>
      </c>
      <c r="C21" s="73" t="s">
        <v>30</v>
      </c>
      <c r="D21" s="74"/>
      <c r="E21" s="74"/>
      <c r="F21" s="74"/>
      <c r="G21" s="74"/>
      <c r="H21" s="74"/>
      <c r="I21" s="74"/>
      <c r="J21" s="74"/>
      <c r="K21" s="74"/>
      <c r="L21" s="74"/>
      <c r="M21" s="74"/>
      <c r="N21" s="74"/>
      <c r="O21" s="74"/>
      <c r="P21" s="74"/>
      <c r="Q21" s="75"/>
      <c r="R21" s="15">
        <v>5</v>
      </c>
    </row>
    <row r="22" spans="2:20" ht="24" customHeight="1" x14ac:dyDescent="0.3">
      <c r="B22" s="15">
        <v>4</v>
      </c>
      <c r="C22" s="73" t="s">
        <v>31</v>
      </c>
      <c r="D22" s="74"/>
      <c r="E22" s="74"/>
      <c r="F22" s="74"/>
      <c r="G22" s="74"/>
      <c r="H22" s="74"/>
      <c r="I22" s="74"/>
      <c r="J22" s="74"/>
      <c r="K22" s="74"/>
      <c r="L22" s="74"/>
      <c r="M22" s="74"/>
      <c r="N22" s="74"/>
      <c r="O22" s="74"/>
      <c r="P22" s="74"/>
      <c r="Q22" s="75"/>
      <c r="R22" s="15">
        <v>5</v>
      </c>
    </row>
    <row r="23" spans="2:20" ht="24" customHeight="1" x14ac:dyDescent="0.3">
      <c r="B23" s="15">
        <v>5</v>
      </c>
      <c r="C23" s="73" t="s">
        <v>32</v>
      </c>
      <c r="D23" s="74"/>
      <c r="E23" s="74"/>
      <c r="F23" s="74"/>
      <c r="G23" s="74"/>
      <c r="H23" s="74"/>
      <c r="I23" s="74"/>
      <c r="J23" s="74"/>
      <c r="K23" s="74"/>
      <c r="L23" s="74"/>
      <c r="M23" s="74"/>
      <c r="N23" s="74"/>
      <c r="O23" s="74"/>
      <c r="P23" s="74"/>
      <c r="Q23" s="75"/>
      <c r="R23" s="15">
        <v>5</v>
      </c>
    </row>
    <row r="24" spans="2:20" ht="24" customHeight="1" x14ac:dyDescent="0.3">
      <c r="B24" s="15">
        <v>6</v>
      </c>
      <c r="C24" s="73" t="s">
        <v>33</v>
      </c>
      <c r="D24" s="74"/>
      <c r="E24" s="74"/>
      <c r="F24" s="74"/>
      <c r="G24" s="74"/>
      <c r="H24" s="74"/>
      <c r="I24" s="74"/>
      <c r="J24" s="74"/>
      <c r="K24" s="74"/>
      <c r="L24" s="74"/>
      <c r="M24" s="74"/>
      <c r="N24" s="74"/>
      <c r="O24" s="74"/>
      <c r="P24" s="74"/>
      <c r="Q24" s="75"/>
      <c r="R24" s="15" t="s">
        <v>54</v>
      </c>
      <c r="S24" s="29"/>
      <c r="T24" s="29" t="s">
        <v>54</v>
      </c>
    </row>
    <row r="25" spans="2:20" ht="22.5" customHeight="1" x14ac:dyDescent="0.3">
      <c r="N25" s="60" t="s">
        <v>15</v>
      </c>
      <c r="O25" s="60"/>
      <c r="P25" s="60"/>
      <c r="Q25" s="61"/>
      <c r="R25" s="59">
        <v>5</v>
      </c>
      <c r="S25" s="29"/>
      <c r="T25" s="29" t="s">
        <v>115</v>
      </c>
    </row>
    <row r="26" spans="2:20" ht="25.05" customHeight="1" x14ac:dyDescent="0.3"/>
    <row r="27" spans="2:20" x14ac:dyDescent="0.3">
      <c r="B27" s="14"/>
      <c r="C27" s="14"/>
      <c r="D27" s="14"/>
      <c r="E27" s="14"/>
      <c r="F27" s="14"/>
      <c r="G27" s="14"/>
      <c r="H27" s="14"/>
      <c r="I27" s="14"/>
      <c r="J27" s="14"/>
      <c r="K27" s="14"/>
      <c r="L27" s="14"/>
      <c r="M27" s="14"/>
      <c r="N27" s="72" t="s">
        <v>18</v>
      </c>
      <c r="O27" s="72"/>
      <c r="P27" s="72"/>
      <c r="Q27" s="72"/>
      <c r="R27" s="72"/>
    </row>
    <row r="28" spans="2:20" ht="3.6" customHeight="1" x14ac:dyDescent="0.3"/>
    <row r="29" spans="2:20" x14ac:dyDescent="0.3">
      <c r="B29" s="14" t="s">
        <v>20</v>
      </c>
      <c r="C29" s="14"/>
      <c r="D29" s="14"/>
      <c r="E29" s="14"/>
      <c r="F29" s="14"/>
      <c r="G29" s="14"/>
      <c r="H29" s="14"/>
      <c r="I29" s="14"/>
      <c r="J29" s="14"/>
      <c r="K29" s="14"/>
      <c r="L29" s="14"/>
      <c r="M29" s="14"/>
      <c r="N29" s="14"/>
      <c r="O29" s="13"/>
      <c r="P29" s="13"/>
      <c r="Q29" s="13"/>
      <c r="R29" s="13" t="s">
        <v>92</v>
      </c>
    </row>
    <row r="30" spans="2:20" ht="24" customHeight="1" x14ac:dyDescent="0.3">
      <c r="B30" s="15">
        <v>1</v>
      </c>
      <c r="C30" s="73" t="s">
        <v>27</v>
      </c>
      <c r="D30" s="74"/>
      <c r="E30" s="74"/>
      <c r="F30" s="74"/>
      <c r="G30" s="74"/>
      <c r="H30" s="74"/>
      <c r="I30" s="74"/>
      <c r="J30" s="74"/>
      <c r="K30" s="74"/>
      <c r="L30" s="74"/>
      <c r="M30" s="74"/>
      <c r="N30" s="74"/>
      <c r="O30" s="74"/>
      <c r="P30" s="74"/>
      <c r="Q30" s="75"/>
      <c r="R30" s="15">
        <v>4</v>
      </c>
    </row>
    <row r="31" spans="2:20" ht="24" customHeight="1" x14ac:dyDescent="0.3">
      <c r="B31" s="15">
        <v>2</v>
      </c>
      <c r="C31" s="73" t="s">
        <v>23</v>
      </c>
      <c r="D31" s="74"/>
      <c r="E31" s="74"/>
      <c r="F31" s="74"/>
      <c r="G31" s="74"/>
      <c r="H31" s="74"/>
      <c r="I31" s="74"/>
      <c r="J31" s="74"/>
      <c r="K31" s="74"/>
      <c r="L31" s="74"/>
      <c r="M31" s="74"/>
      <c r="N31" s="74"/>
      <c r="O31" s="74">
        <v>0</v>
      </c>
      <c r="P31" s="74">
        <v>0</v>
      </c>
      <c r="Q31" s="75">
        <v>0</v>
      </c>
      <c r="R31" s="15">
        <v>4</v>
      </c>
    </row>
    <row r="32" spans="2:20" ht="24" customHeight="1" x14ac:dyDescent="0.3">
      <c r="B32" s="15">
        <v>3</v>
      </c>
      <c r="C32" s="73" t="s">
        <v>28</v>
      </c>
      <c r="D32" s="74"/>
      <c r="E32" s="74"/>
      <c r="F32" s="74"/>
      <c r="G32" s="74"/>
      <c r="H32" s="74"/>
      <c r="I32" s="74"/>
      <c r="J32" s="74"/>
      <c r="K32" s="74"/>
      <c r="L32" s="74"/>
      <c r="M32" s="74"/>
      <c r="N32" s="74"/>
      <c r="O32" s="74">
        <v>0</v>
      </c>
      <c r="P32" s="74">
        <v>0</v>
      </c>
      <c r="Q32" s="75">
        <v>0</v>
      </c>
      <c r="R32" s="15">
        <v>4</v>
      </c>
    </row>
    <row r="33" spans="2:18" ht="24" customHeight="1" x14ac:dyDescent="0.3">
      <c r="B33" s="15">
        <v>4</v>
      </c>
      <c r="C33" s="73" t="s">
        <v>24</v>
      </c>
      <c r="D33" s="74"/>
      <c r="E33" s="74"/>
      <c r="F33" s="74"/>
      <c r="G33" s="74"/>
      <c r="H33" s="74"/>
      <c r="I33" s="74"/>
      <c r="J33" s="74"/>
      <c r="K33" s="74"/>
      <c r="L33" s="74"/>
      <c r="M33" s="74"/>
      <c r="N33" s="74"/>
      <c r="O33" s="74">
        <v>0</v>
      </c>
      <c r="P33" s="74">
        <v>0</v>
      </c>
      <c r="Q33" s="75">
        <v>0</v>
      </c>
      <c r="R33" s="15">
        <v>4</v>
      </c>
    </row>
    <row r="34" spans="2:18" ht="24" customHeight="1" x14ac:dyDescent="0.3">
      <c r="B34" s="15">
        <v>5</v>
      </c>
      <c r="C34" s="73" t="s">
        <v>25</v>
      </c>
      <c r="D34" s="74"/>
      <c r="E34" s="74"/>
      <c r="F34" s="74"/>
      <c r="G34" s="74"/>
      <c r="H34" s="74"/>
      <c r="I34" s="74"/>
      <c r="J34" s="74"/>
      <c r="K34" s="74"/>
      <c r="L34" s="74"/>
      <c r="M34" s="74"/>
      <c r="N34" s="74"/>
      <c r="O34" s="74">
        <v>0</v>
      </c>
      <c r="P34" s="74">
        <v>0</v>
      </c>
      <c r="Q34" s="75">
        <v>0</v>
      </c>
      <c r="R34" s="15">
        <v>4</v>
      </c>
    </row>
    <row r="35" spans="2:18" ht="24" customHeight="1" x14ac:dyDescent="0.3">
      <c r="B35" s="15">
        <v>6</v>
      </c>
      <c r="C35" s="73" t="s">
        <v>26</v>
      </c>
      <c r="D35" s="74"/>
      <c r="E35" s="74"/>
      <c r="F35" s="74"/>
      <c r="G35" s="74"/>
      <c r="H35" s="74"/>
      <c r="I35" s="74"/>
      <c r="J35" s="74"/>
      <c r="K35" s="74"/>
      <c r="L35" s="74"/>
      <c r="M35" s="74"/>
      <c r="N35" s="74"/>
      <c r="O35" s="74">
        <v>0</v>
      </c>
      <c r="P35" s="74">
        <v>0</v>
      </c>
      <c r="Q35" s="75">
        <v>0</v>
      </c>
      <c r="R35" s="15" t="s">
        <v>54</v>
      </c>
    </row>
    <row r="36" spans="2:18" ht="22.5" customHeight="1" x14ac:dyDescent="0.3">
      <c r="N36" s="60" t="s">
        <v>15</v>
      </c>
      <c r="O36" s="60"/>
      <c r="P36" s="60"/>
      <c r="Q36" s="61"/>
      <c r="R36" s="59">
        <f>AVERAGE(R30:R34)</f>
        <v>4</v>
      </c>
    </row>
    <row r="37" spans="2:18" ht="23.55" customHeight="1" x14ac:dyDescent="0.3"/>
    <row r="38" spans="2:18" ht="16.5" customHeight="1" x14ac:dyDescent="0.3">
      <c r="B38" s="14"/>
      <c r="C38" s="14"/>
      <c r="D38" s="14"/>
      <c r="E38" s="14"/>
      <c r="F38" s="14"/>
      <c r="G38" s="14"/>
      <c r="H38" s="14"/>
      <c r="I38" s="14"/>
      <c r="J38" s="14"/>
      <c r="K38" s="14"/>
      <c r="L38" s="14"/>
      <c r="M38" s="14"/>
      <c r="N38" s="72" t="s">
        <v>18</v>
      </c>
      <c r="O38" s="72"/>
      <c r="P38" s="72"/>
      <c r="Q38" s="72"/>
      <c r="R38" s="72"/>
    </row>
    <row r="39" spans="2:18" ht="3.6" customHeight="1" x14ac:dyDescent="0.3"/>
    <row r="40" spans="2:18" x14ac:dyDescent="0.3">
      <c r="B40" s="14" t="s">
        <v>21</v>
      </c>
      <c r="C40" s="14"/>
      <c r="D40" s="14"/>
      <c r="E40" s="14"/>
      <c r="F40" s="14"/>
      <c r="G40" s="14"/>
      <c r="H40" s="14"/>
      <c r="I40" s="14"/>
      <c r="J40" s="14"/>
      <c r="K40" s="14"/>
      <c r="L40" s="14"/>
      <c r="M40" s="14"/>
      <c r="N40" s="14"/>
      <c r="O40" s="13"/>
      <c r="P40" s="13"/>
      <c r="Q40" s="13"/>
      <c r="R40" s="13" t="s">
        <v>92</v>
      </c>
    </row>
    <row r="41" spans="2:18" ht="24" customHeight="1" x14ac:dyDescent="0.3">
      <c r="B41" s="15">
        <v>1</v>
      </c>
      <c r="C41" s="73" t="s">
        <v>22</v>
      </c>
      <c r="D41" s="74"/>
      <c r="E41" s="74"/>
      <c r="F41" s="74"/>
      <c r="G41" s="74"/>
      <c r="H41" s="74"/>
      <c r="I41" s="74"/>
      <c r="J41" s="74"/>
      <c r="K41" s="74"/>
      <c r="L41" s="74"/>
      <c r="M41" s="74"/>
      <c r="N41" s="74"/>
      <c r="O41" s="74"/>
      <c r="P41" s="74"/>
      <c r="Q41" s="75"/>
      <c r="R41" s="15">
        <v>4</v>
      </c>
    </row>
    <row r="42" spans="2:18" x14ac:dyDescent="0.3"/>
    <row r="43" spans="2:18" x14ac:dyDescent="0.3">
      <c r="B43" s="14" t="s">
        <v>34</v>
      </c>
      <c r="C43" s="14"/>
      <c r="D43" s="14"/>
      <c r="E43" s="14"/>
      <c r="F43" s="14"/>
      <c r="G43" s="14"/>
      <c r="H43" s="14"/>
      <c r="I43" s="14"/>
      <c r="J43" s="14"/>
      <c r="K43" s="14"/>
      <c r="L43" s="14"/>
      <c r="M43" s="14"/>
      <c r="N43" s="14"/>
      <c r="O43" s="13"/>
      <c r="P43" s="13"/>
      <c r="Q43" s="13"/>
      <c r="R43" s="13"/>
    </row>
    <row r="44" spans="2:18" ht="156" customHeight="1" x14ac:dyDescent="0.3">
      <c r="B44" s="73"/>
      <c r="C44" s="74"/>
      <c r="D44" s="74"/>
      <c r="E44" s="74"/>
      <c r="F44" s="74"/>
      <c r="G44" s="74"/>
      <c r="H44" s="74"/>
      <c r="I44" s="74"/>
      <c r="J44" s="74"/>
      <c r="K44" s="74"/>
      <c r="L44" s="74"/>
      <c r="M44" s="74"/>
      <c r="N44" s="74"/>
      <c r="O44" s="74"/>
      <c r="P44" s="74"/>
      <c r="Q44" s="74"/>
      <c r="R44" s="75"/>
    </row>
    <row r="45" spans="2:18" x14ac:dyDescent="0.3"/>
    <row r="46" spans="2:18" x14ac:dyDescent="0.3"/>
    <row r="47" spans="2:18" ht="19.05" customHeight="1" x14ac:dyDescent="0.3">
      <c r="Q47" s="91" t="s">
        <v>61</v>
      </c>
      <c r="R47" s="91"/>
    </row>
    <row r="48" spans="2:18" x14ac:dyDescent="0.3"/>
    <row r="49" x14ac:dyDescent="0.3"/>
    <row r="50" x14ac:dyDescent="0.3"/>
    <row r="51" x14ac:dyDescent="0.3"/>
    <row r="52" x14ac:dyDescent="0.3"/>
    <row r="53" x14ac:dyDescent="0.3"/>
    <row r="54" x14ac:dyDescent="0.3"/>
    <row r="55" x14ac:dyDescent="0.3"/>
    <row r="56" x14ac:dyDescent="0.3"/>
    <row r="57" x14ac:dyDescent="0.3"/>
  </sheetData>
  <mergeCells count="38">
    <mergeCell ref="C30:Q30"/>
    <mergeCell ref="C31:Q31"/>
    <mergeCell ref="C32:Q32"/>
    <mergeCell ref="C21:Q21"/>
    <mergeCell ref="C22:Q22"/>
    <mergeCell ref="C23:Q23"/>
    <mergeCell ref="C24:Q24"/>
    <mergeCell ref="N25:Q25"/>
    <mergeCell ref="F14:G14"/>
    <mergeCell ref="F1:O2"/>
    <mergeCell ref="H3:M3"/>
    <mergeCell ref="G7:H7"/>
    <mergeCell ref="I7:M7"/>
    <mergeCell ref="G8:H8"/>
    <mergeCell ref="I8:M8"/>
    <mergeCell ref="G12:H12"/>
    <mergeCell ref="I12:M12"/>
    <mergeCell ref="G9:H9"/>
    <mergeCell ref="I9:M9"/>
    <mergeCell ref="G11:H11"/>
    <mergeCell ref="I11:M11"/>
    <mergeCell ref="H5:N5"/>
    <mergeCell ref="Q47:R47"/>
    <mergeCell ref="H14:I14"/>
    <mergeCell ref="J14:K14"/>
    <mergeCell ref="L14:M14"/>
    <mergeCell ref="N14:O14"/>
    <mergeCell ref="N27:R27"/>
    <mergeCell ref="N16:R16"/>
    <mergeCell ref="N38:R38"/>
    <mergeCell ref="B44:R44"/>
    <mergeCell ref="C33:Q33"/>
    <mergeCell ref="C34:Q34"/>
    <mergeCell ref="C35:Q35"/>
    <mergeCell ref="N36:Q36"/>
    <mergeCell ref="C41:Q41"/>
    <mergeCell ref="C19:Q19"/>
    <mergeCell ref="C20:Q20"/>
  </mergeCells>
  <dataValidations count="1">
    <dataValidation type="list" allowBlank="1" showInputMessage="1" showErrorMessage="1" sqref="R24 R35" xr:uid="{0A403530-003D-44B5-9CE3-CD6E485B6E62}">
      <formula1>$T$24:$T$25</formula1>
    </dataValidation>
  </dataValidations>
  <hyperlinks>
    <hyperlink ref="Q47" location="'Learning(C)'!A1" display="►LEARNING" xr:uid="{990E0D47-1D01-45F5-8F00-F8F2486910F1}"/>
    <hyperlink ref="H14" location="'Retention(D)'!A1" display="►RETENTION" xr:uid="{E25B1CBC-AAC5-43F8-9E4F-D8ACDABADC85}"/>
    <hyperlink ref="F14:G14" location="'Self-Assessment Form(A)'!A1" display="SELF ASSESSMENT" xr:uid="{378E73FE-1969-42E1-B40F-BBF920AA21C4}"/>
    <hyperlink ref="J14:K14" location="'Learning(C)'!A1" display="LEARNING" xr:uid="{4D352CF9-C13A-47D4-820F-7BA6A3927933}"/>
    <hyperlink ref="L14:M14" location="'Retention(D)'!A1" display="RETENTION" xr:uid="{1C9BFCB0-74A7-47F6-96C4-6C8BD06F5A4F}"/>
    <hyperlink ref="N14:O14" location="'Implementation(E)'!A1" display="IMPLEMENTATION" xr:uid="{8FAF78BF-0EE2-4900-8E69-A45AB088B6DB}"/>
  </hyperlinks>
  <pageMargins left="1.8897637795275593" right="0.70866141732283472" top="0.74803149606299213" bottom="0.74803149606299213" header="0.31496062992125984" footer="0.31496062992125984"/>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C8DA-AF3C-4449-9176-292118469298}">
  <sheetPr>
    <pageSetUpPr fitToPage="1"/>
  </sheetPr>
  <dimension ref="B1:R63"/>
  <sheetViews>
    <sheetView topLeftCell="C1" zoomScaleNormal="100" workbookViewId="0">
      <selection activeCell="Q21" sqref="Q21"/>
    </sheetView>
  </sheetViews>
  <sheetFormatPr defaultRowHeight="14.4" zeroHeight="1" x14ac:dyDescent="0.3"/>
  <cols>
    <col min="5" max="5" width="7.21875" customWidth="1"/>
    <col min="7" max="7" width="9.44140625" customWidth="1"/>
    <col min="8" max="8" width="9.77734375" customWidth="1"/>
    <col min="15" max="15" width="16.44140625" customWidth="1"/>
    <col min="16" max="16" width="16.21875" customWidth="1"/>
    <col min="17" max="17" width="17.44140625" bestFit="1" customWidth="1"/>
  </cols>
  <sheetData>
    <row r="1" spans="2:18" s="1" customFormat="1" ht="30.6" customHeight="1" x14ac:dyDescent="0.3">
      <c r="F1" s="62" t="s">
        <v>0</v>
      </c>
      <c r="G1" s="62"/>
      <c r="H1" s="62"/>
      <c r="I1" s="62"/>
      <c r="J1" s="62"/>
      <c r="K1" s="62"/>
      <c r="L1" s="62"/>
      <c r="M1" s="62"/>
      <c r="N1" s="62"/>
      <c r="O1" s="62"/>
      <c r="R1" s="5">
        <v>2024</v>
      </c>
    </row>
    <row r="2" spans="2:18" s="1" customFormat="1" ht="26.55" customHeight="1" x14ac:dyDescent="0.3">
      <c r="F2" s="62"/>
      <c r="G2" s="62"/>
      <c r="H2" s="62"/>
      <c r="I2" s="62"/>
      <c r="J2" s="62"/>
      <c r="K2" s="62"/>
      <c r="L2" s="62"/>
      <c r="M2" s="62"/>
      <c r="N2" s="62"/>
      <c r="O2" s="62"/>
    </row>
    <row r="3" spans="2:18" s="1" customFormat="1" ht="14.55" customHeight="1" x14ac:dyDescent="0.3">
      <c r="E3" s="2"/>
      <c r="F3" s="2"/>
      <c r="H3" s="63" t="s">
        <v>43</v>
      </c>
      <c r="I3" s="63"/>
      <c r="J3" s="63"/>
      <c r="K3" s="63"/>
      <c r="L3" s="63"/>
      <c r="M3" s="63"/>
      <c r="N3" s="6"/>
      <c r="O3" s="6"/>
    </row>
    <row r="4" spans="2:18" s="1" customFormat="1" ht="14.55" customHeight="1" x14ac:dyDescent="0.3">
      <c r="E4" s="2"/>
      <c r="F4" s="2"/>
      <c r="H4" s="56"/>
      <c r="I4" s="56"/>
      <c r="J4" s="56"/>
      <c r="K4" s="56"/>
      <c r="L4" s="56"/>
      <c r="M4" s="56"/>
      <c r="N4" s="6"/>
      <c r="O4" s="6"/>
    </row>
    <row r="5" spans="2:18" s="1" customFormat="1" ht="14.55" customHeight="1" x14ac:dyDescent="0.3">
      <c r="E5" s="2"/>
      <c r="F5" s="2"/>
      <c r="H5" s="70" t="s">
        <v>112</v>
      </c>
      <c r="I5" s="70"/>
      <c r="J5" s="70"/>
      <c r="K5" s="70"/>
      <c r="L5" s="70"/>
      <c r="M5" s="70"/>
      <c r="N5" s="70"/>
      <c r="O5" s="6"/>
      <c r="P5" s="6"/>
    </row>
    <row r="6" spans="2:18" s="1" customFormat="1" ht="15.6" customHeight="1" x14ac:dyDescent="0.3">
      <c r="D6" s="3"/>
      <c r="E6" s="2"/>
      <c r="F6" s="2"/>
      <c r="I6" s="6"/>
      <c r="J6" s="6"/>
      <c r="K6" s="6"/>
      <c r="L6" s="6"/>
      <c r="M6" s="6"/>
      <c r="N6" s="6"/>
      <c r="O6" s="6"/>
    </row>
    <row r="7" spans="2:18" s="1" customFormat="1" ht="22.05" customHeight="1" thickBot="1" x14ac:dyDescent="0.35">
      <c r="G7" s="64" t="s">
        <v>3</v>
      </c>
      <c r="H7" s="65"/>
      <c r="I7" s="66" t="str">
        <f>'Self-Assessment Form(A)'!I7:M7</f>
        <v>Anil kumar P</v>
      </c>
      <c r="J7" s="67"/>
      <c r="K7" s="67"/>
      <c r="L7" s="67"/>
      <c r="M7" s="67"/>
      <c r="P7" s="4"/>
      <c r="Q7" s="4"/>
    </row>
    <row r="8" spans="2:18" s="1" customFormat="1" ht="23.1" customHeight="1" thickTop="1" thickBot="1" x14ac:dyDescent="0.35">
      <c r="G8" s="64" t="s">
        <v>9</v>
      </c>
      <c r="H8" s="65"/>
      <c r="I8" s="68" t="str">
        <f>'Self-Assessment Form(A)'!I8:M8</f>
        <v>PSA - GTOS</v>
      </c>
      <c r="J8" s="69"/>
      <c r="K8" s="69"/>
      <c r="L8" s="69"/>
      <c r="M8" s="69"/>
      <c r="P8" s="4"/>
      <c r="Q8" s="4"/>
    </row>
    <row r="9" spans="2:18" s="1" customFormat="1" ht="22.5" customHeight="1" thickTop="1" thickBot="1" x14ac:dyDescent="0.35">
      <c r="G9" s="64" t="s">
        <v>5</v>
      </c>
      <c r="H9" s="65"/>
      <c r="I9" s="68" t="str">
        <f>'Self-Assessment Form(A)'!I9:M9</f>
        <v>Seniro Software Engineer-2</v>
      </c>
      <c r="J9" s="69"/>
      <c r="K9" s="69"/>
      <c r="L9" s="69"/>
      <c r="M9" s="69"/>
    </row>
    <row r="10" spans="2:18" s="1" customFormat="1" ht="17.100000000000001" customHeight="1" thickTop="1" x14ac:dyDescent="0.3">
      <c r="P10" s="11"/>
      <c r="Q10" s="11"/>
    </row>
    <row r="11" spans="2:18" s="1" customFormat="1" ht="23.1" customHeight="1" thickBot="1" x14ac:dyDescent="0.35">
      <c r="G11" s="76" t="s">
        <v>6</v>
      </c>
      <c r="H11" s="76"/>
      <c r="I11" s="77" t="str">
        <f>'Self-Assessment Form(A)'!I15:M15</f>
        <v>Angular</v>
      </c>
      <c r="J11" s="78"/>
      <c r="K11" s="78"/>
      <c r="L11" s="78"/>
      <c r="M11" s="78"/>
    </row>
    <row r="12" spans="2:18" s="1" customFormat="1" ht="23.1" customHeight="1" thickTop="1" thickBot="1" x14ac:dyDescent="0.35">
      <c r="G12" s="76" t="s">
        <v>7</v>
      </c>
      <c r="H12" s="76"/>
      <c r="I12" s="79">
        <f>'Self-Assessment Form(A)'!I16:M16</f>
        <v>46084</v>
      </c>
      <c r="J12" s="78"/>
      <c r="K12" s="78"/>
      <c r="L12" s="78"/>
      <c r="M12" s="78"/>
    </row>
    <row r="13" spans="2:18" s="1" customFormat="1" ht="24.6" customHeight="1" thickTop="1" thickBot="1" x14ac:dyDescent="0.35">
      <c r="F13" s="9"/>
      <c r="H13" s="12"/>
      <c r="I13" s="10"/>
      <c r="J13" s="10"/>
      <c r="K13" s="10"/>
      <c r="L13" s="10"/>
      <c r="M13" s="10"/>
      <c r="N13" s="7"/>
    </row>
    <row r="14" spans="2:18" s="1" customFormat="1" ht="21" customHeight="1" thickTop="1" thickBot="1" x14ac:dyDescent="0.35">
      <c r="C14" s="32"/>
      <c r="D14" s="32" t="s">
        <v>69</v>
      </c>
      <c r="F14" s="80" t="s">
        <v>12</v>
      </c>
      <c r="G14" s="80"/>
      <c r="H14" s="80" t="s">
        <v>59</v>
      </c>
      <c r="I14" s="80"/>
      <c r="J14" s="81" t="s">
        <v>61</v>
      </c>
      <c r="K14" s="81"/>
      <c r="L14" s="80" t="s">
        <v>68</v>
      </c>
      <c r="M14" s="80"/>
      <c r="N14" s="80" t="s">
        <v>67</v>
      </c>
      <c r="O14" s="80"/>
    </row>
    <row r="15" spans="2:18" s="1" customFormat="1" ht="19.5" customHeight="1" thickTop="1" x14ac:dyDescent="0.3">
      <c r="F15" s="9"/>
      <c r="H15" s="12"/>
      <c r="I15" s="10"/>
      <c r="J15" s="10"/>
      <c r="K15" s="10"/>
      <c r="L15" s="10"/>
      <c r="M15" s="10"/>
      <c r="N15" s="7"/>
    </row>
    <row r="16" spans="2:18" s="1" customFormat="1" x14ac:dyDescent="0.3">
      <c r="B16" s="14"/>
      <c r="C16" s="14"/>
      <c r="D16" s="14"/>
      <c r="E16" s="14"/>
      <c r="F16" s="14"/>
      <c r="G16" s="14"/>
      <c r="H16" s="14"/>
      <c r="I16" s="14"/>
      <c r="J16" s="14"/>
      <c r="K16" s="14"/>
      <c r="L16" s="14"/>
      <c r="M16" s="14"/>
      <c r="N16" s="72"/>
      <c r="O16" s="72"/>
      <c r="P16" s="72"/>
    </row>
    <row r="17" spans="2:17" s="1" customFormat="1" ht="3.6" customHeight="1" x14ac:dyDescent="0.3"/>
    <row r="18" spans="2:17" s="1" customFormat="1" x14ac:dyDescent="0.3">
      <c r="B18" s="14" t="s">
        <v>12</v>
      </c>
      <c r="C18" s="14"/>
      <c r="D18" s="14"/>
      <c r="E18" s="14"/>
      <c r="F18" s="14"/>
      <c r="G18" s="14"/>
      <c r="H18" s="14"/>
      <c r="I18" s="14"/>
      <c r="J18" s="14"/>
      <c r="K18" s="14"/>
      <c r="L18" s="14"/>
      <c r="M18" s="14"/>
      <c r="N18" s="14"/>
      <c r="O18" s="13" t="s">
        <v>35</v>
      </c>
      <c r="P18" s="13" t="s">
        <v>36</v>
      </c>
      <c r="Q18" s="13" t="s">
        <v>89</v>
      </c>
    </row>
    <row r="19" spans="2:17" s="1" customFormat="1" ht="36" customHeight="1" x14ac:dyDescent="0.3">
      <c r="B19" s="15">
        <v>1</v>
      </c>
      <c r="C19" s="73" t="s">
        <v>88</v>
      </c>
      <c r="D19" s="74"/>
      <c r="E19" s="74"/>
      <c r="F19" s="74"/>
      <c r="G19" s="74"/>
      <c r="H19" s="74"/>
      <c r="I19" s="74"/>
      <c r="J19" s="74"/>
      <c r="K19" s="74"/>
      <c r="L19" s="74"/>
      <c r="M19" s="74"/>
      <c r="N19" s="75"/>
      <c r="O19" s="18" t="str">
        <f>'Self-Assessment Form(A)'!P24</f>
        <v>NA</v>
      </c>
      <c r="P19" s="19" t="s">
        <v>119</v>
      </c>
      <c r="Q19" s="40" t="e">
        <f>(P19-O19)/(5-O19)</f>
        <v>#VALUE!</v>
      </c>
    </row>
    <row r="20" spans="2:17" s="1" customFormat="1" ht="36" customHeight="1" x14ac:dyDescent="0.3">
      <c r="B20" s="15">
        <v>2</v>
      </c>
      <c r="C20" s="73" t="s">
        <v>87</v>
      </c>
      <c r="D20" s="74"/>
      <c r="E20" s="74"/>
      <c r="F20" s="74"/>
      <c r="G20" s="74"/>
      <c r="H20" s="74"/>
      <c r="I20" s="74"/>
      <c r="J20" s="74"/>
      <c r="K20" s="74"/>
      <c r="L20" s="74"/>
      <c r="M20" s="74"/>
      <c r="N20" s="75"/>
      <c r="O20" s="18">
        <f>'Self-Assessment Form(A)'!P25</f>
        <v>2</v>
      </c>
      <c r="P20" s="19">
        <v>5</v>
      </c>
      <c r="Q20" s="40">
        <f t="shared" ref="Q20:Q21" si="0">(P20-O20)/(5-O20)</f>
        <v>1</v>
      </c>
    </row>
    <row r="21" spans="2:17" s="1" customFormat="1" ht="36" customHeight="1" x14ac:dyDescent="0.3">
      <c r="B21" s="15">
        <v>3</v>
      </c>
      <c r="C21" s="73" t="s">
        <v>86</v>
      </c>
      <c r="D21" s="74"/>
      <c r="E21" s="74"/>
      <c r="F21" s="74"/>
      <c r="G21" s="74"/>
      <c r="H21" s="74"/>
      <c r="I21" s="74"/>
      <c r="J21" s="74"/>
      <c r="K21" s="74"/>
      <c r="L21" s="74"/>
      <c r="M21" s="74"/>
      <c r="N21" s="75"/>
      <c r="O21" s="18">
        <v>3</v>
      </c>
      <c r="P21" s="41">
        <v>5</v>
      </c>
      <c r="Q21" s="40">
        <f t="shared" si="0"/>
        <v>1</v>
      </c>
    </row>
    <row r="22" spans="2:17" s="1" customFormat="1" ht="22.5" customHeight="1" x14ac:dyDescent="0.3">
      <c r="M22" s="60" t="s">
        <v>90</v>
      </c>
      <c r="N22" s="61"/>
      <c r="O22" s="17">
        <f>AVERAGE(O19:O21)</f>
        <v>2.5</v>
      </c>
      <c r="P22" s="42">
        <f>AVERAGE(P19:P21)</f>
        <v>5</v>
      </c>
    </row>
    <row r="23" spans="2:17" s="1" customFormat="1" ht="25.05" customHeight="1" x14ac:dyDescent="0.3"/>
    <row r="24" spans="2:17" s="1" customFormat="1" ht="19.05" customHeight="1" x14ac:dyDescent="0.3">
      <c r="B24" s="14" t="s">
        <v>37</v>
      </c>
      <c r="C24" s="14"/>
      <c r="D24" s="14"/>
      <c r="E24" s="14"/>
      <c r="F24" s="14"/>
      <c r="G24" s="14"/>
      <c r="H24" s="14"/>
      <c r="I24" s="14"/>
      <c r="J24" s="14"/>
      <c r="K24" s="14"/>
      <c r="L24" s="14"/>
      <c r="M24" s="14"/>
      <c r="N24" s="14"/>
      <c r="O24" s="13"/>
      <c r="P24" s="13"/>
      <c r="Q24" s="13"/>
    </row>
    <row r="25" spans="2:17" s="1" customFormat="1" ht="21" customHeight="1" x14ac:dyDescent="0.3">
      <c r="L25" s="71" t="s">
        <v>38</v>
      </c>
      <c r="M25" s="71"/>
      <c r="N25" s="71"/>
      <c r="O25" s="24">
        <f>((P22-O22)/(5-O22) * 100)</f>
        <v>100</v>
      </c>
      <c r="P25" s="23" t="s">
        <v>39</v>
      </c>
    </row>
    <row r="26" spans="2:17" s="1" customFormat="1" x14ac:dyDescent="0.3"/>
    <row r="27" spans="2:17" s="1" customFormat="1" x14ac:dyDescent="0.3"/>
    <row r="28" spans="2:17" s="1" customFormat="1" ht="20.100000000000001" customHeight="1" x14ac:dyDescent="0.3">
      <c r="Q28" s="30" t="s">
        <v>62</v>
      </c>
    </row>
    <row r="29" spans="2:17" s="1" customFormat="1" x14ac:dyDescent="0.3"/>
    <row r="30" spans="2:17" s="1" customFormat="1" x14ac:dyDescent="0.3"/>
    <row r="31" spans="2:17" s="1" customFormat="1" x14ac:dyDescent="0.3"/>
    <row r="32" spans="2:17" s="1" customFormat="1" hidden="1" x14ac:dyDescent="0.3"/>
    <row r="33" s="1" customFormat="1" hidden="1" x14ac:dyDescent="0.3"/>
    <row r="34" s="1" customFormat="1" hidden="1" x14ac:dyDescent="0.3"/>
    <row r="35" s="1" customFormat="1" hidden="1" x14ac:dyDescent="0.3"/>
    <row r="36" s="1" customFormat="1" hidden="1" x14ac:dyDescent="0.3"/>
    <row r="37" s="1" customFormat="1" hidden="1" x14ac:dyDescent="0.3"/>
    <row r="38" s="1" customFormat="1" hidden="1" x14ac:dyDescent="0.3"/>
    <row r="39" s="1" customFormat="1" hidden="1" x14ac:dyDescent="0.3"/>
    <row r="40" s="1" customFormat="1" hidden="1" x14ac:dyDescent="0.3"/>
    <row r="41" s="1" customFormat="1" hidden="1" x14ac:dyDescent="0.3"/>
    <row r="42" s="1" customFormat="1" hidden="1" x14ac:dyDescent="0.3"/>
    <row r="43" s="1" customFormat="1" hidden="1" x14ac:dyDescent="0.3"/>
    <row r="44" s="1" customFormat="1" hidden="1" x14ac:dyDescent="0.3"/>
    <row r="45" s="1" customFormat="1" hidden="1" x14ac:dyDescent="0.3"/>
    <row r="46" s="1" customFormat="1" hidden="1" x14ac:dyDescent="0.3"/>
    <row r="47" s="1" customFormat="1" hidden="1" x14ac:dyDescent="0.3"/>
    <row r="48" s="1" customFormat="1" hidden="1" x14ac:dyDescent="0.3"/>
    <row r="49" s="1" customFormat="1" hidden="1" x14ac:dyDescent="0.3"/>
    <row r="50" s="1" customFormat="1" hidden="1" x14ac:dyDescent="0.3"/>
    <row r="51" s="1" customFormat="1" hidden="1" x14ac:dyDescent="0.3"/>
    <row r="52" s="1" customFormat="1" hidden="1" x14ac:dyDescent="0.3"/>
    <row r="53" s="1" customFormat="1" hidden="1" x14ac:dyDescent="0.3"/>
    <row r="54" s="1" customFormat="1" hidden="1" x14ac:dyDescent="0.3"/>
    <row r="55" s="1" customFormat="1" hidden="1" x14ac:dyDescent="0.3"/>
    <row r="56" s="1" customFormat="1" hidden="1" x14ac:dyDescent="0.3"/>
    <row r="57" s="1" customFormat="1" hidden="1" x14ac:dyDescent="0.3"/>
    <row r="58" s="1" customFormat="1" hidden="1" x14ac:dyDescent="0.3"/>
    <row r="59" s="1" customFormat="1" hidden="1" x14ac:dyDescent="0.3"/>
    <row r="60" s="1" customFormat="1" hidden="1" x14ac:dyDescent="0.3"/>
    <row r="61" s="1" customFormat="1" hidden="1" x14ac:dyDescent="0.3"/>
    <row r="62" s="1" customFormat="1" hidden="1" x14ac:dyDescent="0.3"/>
    <row r="63" s="1" customFormat="1" x14ac:dyDescent="0.3"/>
  </sheetData>
  <mergeCells count="24">
    <mergeCell ref="L25:N25"/>
    <mergeCell ref="N16:P16"/>
    <mergeCell ref="C19:N19"/>
    <mergeCell ref="C21:N21"/>
    <mergeCell ref="G9:H9"/>
    <mergeCell ref="I9:M9"/>
    <mergeCell ref="G11:H11"/>
    <mergeCell ref="I11:M11"/>
    <mergeCell ref="G12:H12"/>
    <mergeCell ref="I12:M12"/>
    <mergeCell ref="F14:G14"/>
    <mergeCell ref="H14:I14"/>
    <mergeCell ref="J14:K14"/>
    <mergeCell ref="L14:M14"/>
    <mergeCell ref="N14:O14"/>
    <mergeCell ref="C20:N20"/>
    <mergeCell ref="M22:N22"/>
    <mergeCell ref="F1:O2"/>
    <mergeCell ref="H3:M3"/>
    <mergeCell ref="G7:H7"/>
    <mergeCell ref="I7:M7"/>
    <mergeCell ref="G8:H8"/>
    <mergeCell ref="I8:M8"/>
    <mergeCell ref="H5:N5"/>
  </mergeCells>
  <hyperlinks>
    <hyperlink ref="Q28" location="'Retention(D)'!A1" display="►RETENTION" xr:uid="{95671AAF-9FAB-453A-8874-2BE8B0FBFEBC}"/>
  </hyperlinks>
  <pageMargins left="0.7" right="0.7" top="0.75" bottom="0.75" header="0.3" footer="0.3"/>
  <pageSetup scale="50"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A34-DE2D-4BDB-9DBE-A68853F44DDE}">
  <sheetPr>
    <pageSetUpPr fitToPage="1"/>
  </sheetPr>
  <dimension ref="A1:T46"/>
  <sheetViews>
    <sheetView tabSelected="1" workbookViewId="0">
      <selection activeCell="O32" sqref="O32:R32"/>
    </sheetView>
  </sheetViews>
  <sheetFormatPr defaultRowHeight="14.4" zeroHeight="1" x14ac:dyDescent="0.3"/>
  <cols>
    <col min="5" max="5" width="7.21875" customWidth="1"/>
    <col min="7" max="7" width="9.44140625" customWidth="1"/>
    <col min="8" max="8" width="9.77734375" customWidth="1"/>
    <col min="14" max="14" width="6.44140625" customWidth="1"/>
    <col min="15" max="15" width="13.44140625" customWidth="1"/>
  </cols>
  <sheetData>
    <row r="1" spans="4:19" s="1" customFormat="1" ht="30.6" customHeight="1" x14ac:dyDescent="0.3">
      <c r="F1" s="62" t="s">
        <v>0</v>
      </c>
      <c r="G1" s="62"/>
      <c r="H1" s="62"/>
      <c r="I1" s="62"/>
      <c r="J1" s="62"/>
      <c r="K1" s="62"/>
      <c r="L1" s="62"/>
      <c r="M1" s="62"/>
      <c r="N1" s="62"/>
      <c r="O1" s="62"/>
      <c r="S1" s="5">
        <v>2024</v>
      </c>
    </row>
    <row r="2" spans="4:19" s="1" customFormat="1" ht="26.55" customHeight="1" x14ac:dyDescent="0.3">
      <c r="F2" s="62"/>
      <c r="G2" s="62"/>
      <c r="H2" s="62"/>
      <c r="I2" s="62"/>
      <c r="J2" s="62"/>
      <c r="K2" s="62"/>
      <c r="L2" s="62"/>
      <c r="M2" s="62"/>
      <c r="N2" s="62"/>
      <c r="O2" s="62"/>
    </row>
    <row r="3" spans="4:19" s="1" customFormat="1" ht="14.55" customHeight="1" x14ac:dyDescent="0.3">
      <c r="E3" s="2"/>
      <c r="F3" s="2"/>
      <c r="H3" s="63" t="s">
        <v>44</v>
      </c>
      <c r="I3" s="63"/>
      <c r="J3" s="63"/>
      <c r="K3" s="63"/>
      <c r="L3" s="63"/>
      <c r="M3" s="63"/>
      <c r="N3" s="6"/>
      <c r="O3" s="6"/>
      <c r="P3" s="6"/>
    </row>
    <row r="4" spans="4:19" s="1" customFormat="1" ht="14.55" customHeight="1" x14ac:dyDescent="0.3">
      <c r="E4" s="2"/>
      <c r="F4" s="2"/>
      <c r="H4" s="56"/>
      <c r="I4" s="56"/>
      <c r="J4" s="56"/>
      <c r="K4" s="56"/>
      <c r="L4" s="56"/>
      <c r="M4" s="56"/>
      <c r="N4" s="6"/>
      <c r="O4" s="6"/>
      <c r="P4" s="6"/>
    </row>
    <row r="5" spans="4:19" s="1" customFormat="1" ht="14.55" customHeight="1" x14ac:dyDescent="0.3">
      <c r="E5" s="2"/>
      <c r="F5" s="2"/>
      <c r="H5" s="70" t="s">
        <v>113</v>
      </c>
      <c r="I5" s="70"/>
      <c r="J5" s="70"/>
      <c r="K5" s="70"/>
      <c r="L5" s="70"/>
      <c r="M5" s="70"/>
      <c r="N5" s="70"/>
      <c r="O5" s="6"/>
      <c r="P5" s="6"/>
    </row>
    <row r="6" spans="4:19" s="1" customFormat="1" ht="20.100000000000001" customHeight="1" x14ac:dyDescent="0.3">
      <c r="D6" s="3"/>
      <c r="E6" s="2"/>
      <c r="F6" s="2"/>
      <c r="I6" s="6"/>
      <c r="J6" s="6"/>
      <c r="K6" s="6"/>
      <c r="L6" s="6"/>
      <c r="M6" s="6"/>
      <c r="N6" s="6"/>
      <c r="O6" s="6"/>
      <c r="P6" s="6"/>
    </row>
    <row r="7" spans="4:19" s="1" customFormat="1" ht="22.05" customHeight="1" thickBot="1" x14ac:dyDescent="0.35">
      <c r="G7" s="64" t="s">
        <v>3</v>
      </c>
      <c r="H7" s="65"/>
      <c r="I7" s="66" t="str">
        <f>'Self-Assessment Form(A)'!I7:M7</f>
        <v>Anil kumar P</v>
      </c>
      <c r="J7" s="67"/>
      <c r="K7" s="67"/>
      <c r="L7" s="67"/>
      <c r="M7" s="67"/>
      <c r="Q7" s="4"/>
    </row>
    <row r="8" spans="4:19" s="1" customFormat="1" ht="23.1" customHeight="1" thickTop="1" thickBot="1" x14ac:dyDescent="0.35">
      <c r="G8" s="64" t="s">
        <v>9</v>
      </c>
      <c r="H8" s="65"/>
      <c r="I8" s="68" t="str">
        <f>'Self-Assessment Form(A)'!I8:M8</f>
        <v>PSA - GTOS</v>
      </c>
      <c r="J8" s="69"/>
      <c r="K8" s="69"/>
      <c r="L8" s="69"/>
      <c r="M8" s="69"/>
      <c r="Q8" s="4"/>
    </row>
    <row r="9" spans="4:19" s="1" customFormat="1" ht="22.5" customHeight="1" thickTop="1" thickBot="1" x14ac:dyDescent="0.35">
      <c r="G9" s="64" t="s">
        <v>5</v>
      </c>
      <c r="H9" s="65"/>
      <c r="I9" s="68" t="str">
        <f>'Self-Assessment Form(A)'!I9:M9</f>
        <v>Seniro Software Engineer-2</v>
      </c>
      <c r="J9" s="69"/>
      <c r="K9" s="69"/>
      <c r="L9" s="69"/>
      <c r="M9" s="69"/>
    </row>
    <row r="10" spans="4:19" s="1" customFormat="1" ht="17.100000000000001" customHeight="1" thickTop="1" x14ac:dyDescent="0.3">
      <c r="Q10" s="11"/>
    </row>
    <row r="11" spans="4:19" s="1" customFormat="1" ht="23.1" customHeight="1" thickBot="1" x14ac:dyDescent="0.35">
      <c r="G11" s="76" t="s">
        <v>6</v>
      </c>
      <c r="H11" s="76"/>
      <c r="I11" s="77" t="str">
        <f>'Self-Assessment Form(A)'!I15:M15</f>
        <v>Angular</v>
      </c>
      <c r="J11" s="78"/>
      <c r="K11" s="78"/>
      <c r="L11" s="78"/>
      <c r="M11" s="78"/>
    </row>
    <row r="12" spans="4:19" s="1" customFormat="1" ht="23.1" customHeight="1" thickTop="1" thickBot="1" x14ac:dyDescent="0.35">
      <c r="G12" s="76" t="s">
        <v>7</v>
      </c>
      <c r="H12" s="76"/>
      <c r="I12" s="79">
        <f>'Self-Assessment Form(A)'!I16:M16</f>
        <v>46084</v>
      </c>
      <c r="J12" s="92"/>
      <c r="K12" s="92"/>
      <c r="L12" s="92"/>
      <c r="M12" s="92"/>
    </row>
    <row r="13" spans="4:19" s="1" customFormat="1" ht="23.1" customHeight="1" thickTop="1" thickBot="1" x14ac:dyDescent="0.35">
      <c r="G13" s="76" t="s">
        <v>41</v>
      </c>
      <c r="H13" s="76"/>
      <c r="I13" s="79"/>
      <c r="J13" s="92"/>
      <c r="K13" s="92"/>
      <c r="L13" s="92"/>
      <c r="M13" s="92"/>
    </row>
    <row r="14" spans="4:19" s="1" customFormat="1" ht="23.1" customHeight="1" thickTop="1" thickBot="1" x14ac:dyDescent="0.35">
      <c r="G14" s="16"/>
      <c r="H14" s="16"/>
      <c r="I14" s="43" t="s">
        <v>70</v>
      </c>
      <c r="J14" s="33"/>
      <c r="K14" s="33"/>
      <c r="L14" s="33"/>
      <c r="M14" s="33"/>
    </row>
    <row r="15" spans="4:19" s="1" customFormat="1" ht="21" customHeight="1" thickTop="1" thickBot="1" x14ac:dyDescent="0.35">
      <c r="D15" s="32" t="s">
        <v>69</v>
      </c>
      <c r="F15" s="80" t="s">
        <v>12</v>
      </c>
      <c r="G15" s="80"/>
      <c r="H15" s="80" t="s">
        <v>59</v>
      </c>
      <c r="I15" s="80"/>
      <c r="J15" s="80" t="s">
        <v>65</v>
      </c>
      <c r="K15" s="80"/>
      <c r="L15" s="81" t="s">
        <v>62</v>
      </c>
      <c r="M15" s="81"/>
      <c r="N15" s="80" t="s">
        <v>67</v>
      </c>
      <c r="O15" s="80"/>
    </row>
    <row r="16" spans="4:19" s="1" customFormat="1" ht="19.05" customHeight="1" thickTop="1" x14ac:dyDescent="0.3"/>
    <row r="17" spans="1:20" s="1" customFormat="1" x14ac:dyDescent="0.3">
      <c r="B17" s="13"/>
      <c r="C17" s="13"/>
      <c r="D17" s="13"/>
      <c r="E17" s="13"/>
      <c r="F17" s="13"/>
      <c r="G17" s="13"/>
      <c r="H17" s="13" t="s">
        <v>93</v>
      </c>
      <c r="I17" s="13"/>
      <c r="J17" s="13"/>
      <c r="K17" s="14"/>
      <c r="L17" s="14"/>
      <c r="M17" s="14"/>
      <c r="N17" s="14"/>
      <c r="O17" s="14"/>
    </row>
    <row r="18" spans="1:20" s="1" customFormat="1" ht="3.6" customHeight="1" x14ac:dyDescent="0.3"/>
    <row r="19" spans="1:20" s="1" customFormat="1" x14ac:dyDescent="0.3">
      <c r="B19" s="14" t="s">
        <v>91</v>
      </c>
      <c r="C19" s="14"/>
      <c r="D19" s="14"/>
      <c r="E19" s="14"/>
      <c r="F19" s="14"/>
      <c r="G19" s="14"/>
      <c r="H19" s="14"/>
      <c r="I19" s="14"/>
      <c r="J19" s="14"/>
      <c r="K19" s="14"/>
      <c r="L19" s="14"/>
      <c r="M19" s="14"/>
      <c r="N19" s="14"/>
      <c r="O19" s="26" t="s">
        <v>92</v>
      </c>
      <c r="T19" s="29"/>
    </row>
    <row r="20" spans="1:20" s="1" customFormat="1" ht="24" customHeight="1" x14ac:dyDescent="0.3">
      <c r="B20" s="15">
        <v>1</v>
      </c>
      <c r="C20" s="34" t="s">
        <v>45</v>
      </c>
      <c r="D20" s="35"/>
      <c r="E20" s="35"/>
      <c r="F20" s="35"/>
      <c r="G20" s="35"/>
      <c r="H20" s="35"/>
      <c r="I20" s="35"/>
      <c r="J20" s="35"/>
      <c r="K20" s="35"/>
      <c r="L20" s="35"/>
      <c r="M20" s="35"/>
      <c r="N20" s="36"/>
      <c r="O20" s="27"/>
      <c r="T20" s="29">
        <v>5</v>
      </c>
    </row>
    <row r="21" spans="1:20" s="1" customFormat="1" ht="24" customHeight="1" x14ac:dyDescent="0.3">
      <c r="B21" s="15">
        <v>2</v>
      </c>
      <c r="C21" s="73" t="s">
        <v>94</v>
      </c>
      <c r="D21" s="74"/>
      <c r="E21" s="74"/>
      <c r="F21" s="74"/>
      <c r="G21" s="74"/>
      <c r="H21" s="74"/>
      <c r="I21" s="74"/>
      <c r="J21" s="74"/>
      <c r="K21" s="74"/>
      <c r="L21" s="74"/>
      <c r="M21" s="74"/>
      <c r="N21" s="75"/>
      <c r="O21" s="27"/>
      <c r="T21" s="29">
        <v>4</v>
      </c>
    </row>
    <row r="22" spans="1:20" s="1" customFormat="1" ht="24" customHeight="1" x14ac:dyDescent="0.3">
      <c r="B22" s="15">
        <v>3</v>
      </c>
      <c r="C22" s="73" t="s">
        <v>46</v>
      </c>
      <c r="D22" s="74"/>
      <c r="E22" s="74"/>
      <c r="F22" s="74"/>
      <c r="G22" s="74"/>
      <c r="H22" s="74"/>
      <c r="I22" s="74"/>
      <c r="J22" s="74"/>
      <c r="K22" s="74"/>
      <c r="L22" s="74"/>
      <c r="M22" s="74"/>
      <c r="N22" s="75"/>
      <c r="O22" s="27"/>
      <c r="T22" s="29">
        <v>3</v>
      </c>
    </row>
    <row r="23" spans="1:20" s="1" customFormat="1" ht="24" customHeight="1" x14ac:dyDescent="0.3">
      <c r="B23" s="15">
        <v>4</v>
      </c>
      <c r="C23" s="73" t="s">
        <v>47</v>
      </c>
      <c r="D23" s="74"/>
      <c r="E23" s="74"/>
      <c r="F23" s="74"/>
      <c r="G23" s="74"/>
      <c r="H23" s="74"/>
      <c r="I23" s="74"/>
      <c r="J23" s="74"/>
      <c r="K23" s="74"/>
      <c r="L23" s="74"/>
      <c r="M23" s="74"/>
      <c r="N23" s="75"/>
      <c r="O23" s="27"/>
      <c r="T23" s="29">
        <v>2</v>
      </c>
    </row>
    <row r="24" spans="1:20" s="1" customFormat="1" ht="24" customHeight="1" x14ac:dyDescent="0.3">
      <c r="A24" s="1" t="s">
        <v>49</v>
      </c>
      <c r="B24" s="15">
        <v>5</v>
      </c>
      <c r="C24" s="73" t="s">
        <v>48</v>
      </c>
      <c r="D24" s="74"/>
      <c r="E24" s="74"/>
      <c r="F24" s="74"/>
      <c r="G24" s="74"/>
      <c r="H24" s="74"/>
      <c r="I24" s="74"/>
      <c r="J24" s="74"/>
      <c r="K24" s="74"/>
      <c r="L24" s="74"/>
      <c r="M24" s="74"/>
      <c r="N24" s="75"/>
      <c r="O24" s="27"/>
      <c r="T24" s="29">
        <v>1</v>
      </c>
    </row>
    <row r="25" spans="1:20" s="1" customFormat="1" ht="24" customHeight="1" x14ac:dyDescent="0.3">
      <c r="B25" s="15">
        <v>6</v>
      </c>
      <c r="C25" s="73" t="s">
        <v>95</v>
      </c>
      <c r="D25" s="74"/>
      <c r="E25" s="74"/>
      <c r="F25" s="74"/>
      <c r="G25" s="74"/>
      <c r="H25" s="74"/>
      <c r="I25" s="74"/>
      <c r="J25" s="74"/>
      <c r="K25" s="74"/>
      <c r="L25" s="74"/>
      <c r="M25" s="74"/>
      <c r="N25" s="75"/>
      <c r="O25" s="27"/>
      <c r="T25" s="29"/>
    </row>
    <row r="26" spans="1:20" s="1" customFormat="1" ht="25.05" customHeight="1" x14ac:dyDescent="0.3"/>
    <row r="27" spans="1:20" s="1" customFormat="1" x14ac:dyDescent="0.3">
      <c r="B27" s="14"/>
      <c r="C27" s="14"/>
      <c r="D27" s="14"/>
      <c r="E27" s="14"/>
      <c r="F27" s="14"/>
      <c r="G27" s="14"/>
      <c r="H27" s="14"/>
      <c r="I27" s="14"/>
      <c r="J27" s="14"/>
      <c r="K27" s="14"/>
      <c r="L27" s="14"/>
      <c r="M27" s="14"/>
      <c r="N27" s="72"/>
      <c r="O27" s="72"/>
      <c r="P27" s="72"/>
      <c r="Q27" s="72"/>
      <c r="R27" s="72"/>
    </row>
    <row r="28" spans="1:20" s="1" customFormat="1" ht="3.6" customHeight="1" x14ac:dyDescent="0.3"/>
    <row r="29" spans="1:20" s="1" customFormat="1" ht="19.5" customHeight="1" x14ac:dyDescent="0.3">
      <c r="B29" s="14" t="s">
        <v>96</v>
      </c>
      <c r="C29" s="14"/>
      <c r="D29" s="14"/>
      <c r="E29" s="14"/>
      <c r="F29" s="14"/>
      <c r="G29" s="14"/>
      <c r="H29" s="14"/>
      <c r="I29" s="14"/>
      <c r="J29" s="14"/>
      <c r="K29" s="14"/>
      <c r="L29" s="14"/>
      <c r="M29" s="14"/>
      <c r="N29" s="14"/>
      <c r="O29" s="72" t="s">
        <v>107</v>
      </c>
      <c r="P29" s="72"/>
      <c r="Q29" s="72"/>
      <c r="R29" s="72"/>
    </row>
    <row r="30" spans="1:20" s="1" customFormat="1" ht="24" customHeight="1" x14ac:dyDescent="0.3">
      <c r="B30" s="15">
        <v>1</v>
      </c>
      <c r="C30" s="73" t="s">
        <v>50</v>
      </c>
      <c r="D30" s="74"/>
      <c r="E30" s="74"/>
      <c r="F30" s="74"/>
      <c r="G30" s="74"/>
      <c r="H30" s="74"/>
      <c r="I30" s="74"/>
      <c r="J30" s="74"/>
      <c r="K30" s="74"/>
      <c r="L30" s="74"/>
      <c r="M30" s="74"/>
      <c r="N30" s="75"/>
      <c r="O30" s="93"/>
      <c r="P30" s="94"/>
      <c r="Q30" s="94"/>
      <c r="R30" s="95"/>
      <c r="T30" s="29"/>
    </row>
    <row r="31" spans="1:20" s="1" customFormat="1" ht="24" customHeight="1" x14ac:dyDescent="0.3">
      <c r="B31" s="15">
        <v>2</v>
      </c>
      <c r="C31" s="73" t="s">
        <v>51</v>
      </c>
      <c r="D31" s="74"/>
      <c r="E31" s="74"/>
      <c r="F31" s="74"/>
      <c r="G31" s="74"/>
      <c r="H31" s="74"/>
      <c r="I31" s="74"/>
      <c r="J31" s="74"/>
      <c r="K31" s="74"/>
      <c r="L31" s="74"/>
      <c r="M31" s="74"/>
      <c r="N31" s="75"/>
      <c r="O31" s="93"/>
      <c r="P31" s="94"/>
      <c r="Q31" s="94"/>
      <c r="R31" s="95"/>
      <c r="T31" s="29" t="s">
        <v>54</v>
      </c>
    </row>
    <row r="32" spans="1:20" s="1" customFormat="1" ht="24" customHeight="1" x14ac:dyDescent="0.3">
      <c r="B32" s="15">
        <v>3</v>
      </c>
      <c r="C32" s="96" t="s">
        <v>52</v>
      </c>
      <c r="D32" s="74"/>
      <c r="E32" s="74"/>
      <c r="F32" s="74"/>
      <c r="G32" s="74"/>
      <c r="H32" s="74"/>
      <c r="I32" s="74"/>
      <c r="J32" s="74"/>
      <c r="K32" s="74"/>
      <c r="L32" s="74"/>
      <c r="M32" s="74"/>
      <c r="N32" s="75"/>
      <c r="O32" s="93"/>
      <c r="P32" s="94"/>
      <c r="Q32" s="94"/>
      <c r="R32" s="95"/>
      <c r="T32" s="29"/>
    </row>
    <row r="33" spans="1:20" s="1" customFormat="1" ht="24" customHeight="1" x14ac:dyDescent="0.3">
      <c r="B33" s="15">
        <v>4</v>
      </c>
      <c r="C33" s="73" t="s">
        <v>53</v>
      </c>
      <c r="D33" s="74"/>
      <c r="E33" s="74"/>
      <c r="F33" s="74"/>
      <c r="G33" s="74"/>
      <c r="H33" s="74"/>
      <c r="I33" s="74"/>
      <c r="J33" s="74"/>
      <c r="K33" s="74"/>
      <c r="L33" s="74"/>
      <c r="M33" s="74"/>
      <c r="N33" s="75"/>
      <c r="O33" s="93"/>
      <c r="P33" s="94"/>
      <c r="Q33" s="94"/>
      <c r="R33" s="95"/>
      <c r="T33" s="29"/>
    </row>
    <row r="34" spans="1:20" s="1" customFormat="1" ht="23.55" customHeight="1" x14ac:dyDescent="0.3"/>
    <row r="35" spans="1:20" s="1" customFormat="1" ht="19.5" customHeight="1" x14ac:dyDescent="0.3">
      <c r="B35" s="14" t="s">
        <v>55</v>
      </c>
      <c r="C35" s="14"/>
      <c r="D35" s="14"/>
      <c r="E35" s="14"/>
      <c r="F35" s="14"/>
      <c r="G35" s="14"/>
      <c r="H35" s="14"/>
      <c r="I35" s="14"/>
      <c r="J35" s="14"/>
      <c r="K35" s="14"/>
      <c r="L35" s="14"/>
      <c r="M35" s="14"/>
      <c r="N35" s="14"/>
      <c r="O35" s="13"/>
      <c r="P35" s="13"/>
      <c r="Q35" s="13"/>
      <c r="R35" s="13"/>
    </row>
    <row r="36" spans="1:20" s="1" customFormat="1" ht="98.55" customHeight="1" x14ac:dyDescent="0.3">
      <c r="B36" s="93"/>
      <c r="C36" s="94"/>
      <c r="D36" s="94"/>
      <c r="E36" s="94"/>
      <c r="F36" s="94"/>
      <c r="G36" s="94"/>
      <c r="H36" s="94"/>
      <c r="I36" s="94"/>
      <c r="J36" s="94"/>
      <c r="K36" s="94"/>
      <c r="L36" s="94"/>
      <c r="M36" s="94"/>
      <c r="N36" s="94"/>
      <c r="O36" s="94"/>
      <c r="P36" s="94"/>
      <c r="Q36" s="94"/>
      <c r="R36" s="95"/>
    </row>
    <row r="37" spans="1:20" s="1" customFormat="1" x14ac:dyDescent="0.3"/>
    <row r="38" spans="1:20" s="1" customFormat="1" x14ac:dyDescent="0.3">
      <c r="B38" s="14" t="s">
        <v>56</v>
      </c>
      <c r="C38" s="14"/>
      <c r="D38" s="14"/>
      <c r="E38" s="14"/>
      <c r="F38" s="14"/>
      <c r="G38" s="14"/>
      <c r="H38" s="14"/>
      <c r="I38" s="14"/>
      <c r="J38" s="14"/>
      <c r="K38" s="14"/>
      <c r="L38" s="14"/>
      <c r="M38" s="14"/>
      <c r="N38" s="14"/>
      <c r="O38" s="13"/>
      <c r="P38" s="13"/>
      <c r="Q38" s="13"/>
      <c r="R38" s="13"/>
    </row>
    <row r="39" spans="1:20" s="1" customFormat="1" ht="126" customHeight="1" x14ac:dyDescent="0.3">
      <c r="B39" s="73"/>
      <c r="C39" s="74"/>
      <c r="D39" s="74"/>
      <c r="E39" s="74"/>
      <c r="F39" s="74"/>
      <c r="G39" s="74"/>
      <c r="H39" s="74"/>
      <c r="I39" s="74"/>
      <c r="J39" s="74"/>
      <c r="K39" s="74"/>
      <c r="L39" s="74"/>
      <c r="M39" s="74"/>
      <c r="N39" s="74"/>
      <c r="O39" s="74"/>
      <c r="P39" s="74"/>
      <c r="Q39" s="74"/>
      <c r="R39" s="75"/>
    </row>
    <row r="40" spans="1:20" s="1" customFormat="1" x14ac:dyDescent="0.3"/>
    <row r="41" spans="1:20" s="1" customFormat="1" x14ac:dyDescent="0.3"/>
    <row r="42" spans="1:20" s="1" customFormat="1" ht="18.600000000000001" customHeight="1" x14ac:dyDescent="0.3">
      <c r="Q42" s="91" t="s">
        <v>63</v>
      </c>
      <c r="R42" s="91"/>
    </row>
    <row r="43" spans="1:20" s="1" customFormat="1" x14ac:dyDescent="0.3"/>
    <row r="44" spans="1:20" s="1" customFormat="1" x14ac:dyDescent="0.3"/>
    <row r="45" spans="1:20" s="1" customFormat="1" hidden="1" x14ac:dyDescent="0.3">
      <c r="A45" s="1" t="s">
        <v>71</v>
      </c>
    </row>
    <row r="46" spans="1:20" s="1" customFormat="1" hidden="1" x14ac:dyDescent="0.3"/>
  </sheetData>
  <mergeCells count="38">
    <mergeCell ref="O32:R32"/>
    <mergeCell ref="O33:R33"/>
    <mergeCell ref="G13:H13"/>
    <mergeCell ref="I13:M13"/>
    <mergeCell ref="O29:R29"/>
    <mergeCell ref="O30:R30"/>
    <mergeCell ref="C25:N25"/>
    <mergeCell ref="N27:R27"/>
    <mergeCell ref="C30:N30"/>
    <mergeCell ref="G9:H9"/>
    <mergeCell ref="I9:M9"/>
    <mergeCell ref="G11:H11"/>
    <mergeCell ref="I11:M11"/>
    <mergeCell ref="G12:H12"/>
    <mergeCell ref="I12:M12"/>
    <mergeCell ref="F1:O2"/>
    <mergeCell ref="H3:M3"/>
    <mergeCell ref="G7:H7"/>
    <mergeCell ref="I7:M7"/>
    <mergeCell ref="G8:H8"/>
    <mergeCell ref="I8:M8"/>
    <mergeCell ref="H5:N5"/>
    <mergeCell ref="Q42:R42"/>
    <mergeCell ref="F15:G15"/>
    <mergeCell ref="H15:I15"/>
    <mergeCell ref="J15:K15"/>
    <mergeCell ref="L15:M15"/>
    <mergeCell ref="N15:O15"/>
    <mergeCell ref="C21:N21"/>
    <mergeCell ref="C22:N22"/>
    <mergeCell ref="C23:N23"/>
    <mergeCell ref="C24:N24"/>
    <mergeCell ref="B36:R36"/>
    <mergeCell ref="B39:R39"/>
    <mergeCell ref="C31:N31"/>
    <mergeCell ref="C32:N32"/>
    <mergeCell ref="C33:N33"/>
    <mergeCell ref="O31:R31"/>
  </mergeCells>
  <dataValidations count="2">
    <dataValidation type="list" allowBlank="1" showInputMessage="1" showErrorMessage="1" sqref="O20:O25" xr:uid="{A5C022C1-D2EA-443A-8D78-817F6914F792}">
      <formula1>$T$20:$T$24</formula1>
    </dataValidation>
    <dataValidation type="list" allowBlank="1" showInputMessage="1" showErrorMessage="1" sqref="O30:R33" xr:uid="{AC00D401-E4C1-408A-8769-D261732B0CC2}">
      <formula1>$T$31</formula1>
    </dataValidation>
  </dataValidations>
  <hyperlinks>
    <hyperlink ref="Q42" location="'Retention(D)'!A1" display="►RETENTION" xr:uid="{72C64D08-DED0-4DE1-9A1F-3F4AAED70072}"/>
  </hyperlinks>
  <pageMargins left="0.7" right="0.7" top="0.75" bottom="0.75" header="0.3" footer="0.3"/>
  <pageSetup scale="46"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A0E-ACC9-4C25-ADD8-C0C80E99BA61}">
  <sheetPr>
    <pageSetUpPr fitToPage="1"/>
  </sheetPr>
  <dimension ref="B1:X36"/>
  <sheetViews>
    <sheetView topLeftCell="A9" workbookViewId="0">
      <selection activeCell="Q1" sqref="Q1"/>
    </sheetView>
  </sheetViews>
  <sheetFormatPr defaultRowHeight="14.4" zeroHeight="1" x14ac:dyDescent="0.3"/>
  <cols>
    <col min="2" max="3" width="8.77734375" style="1"/>
    <col min="4" max="4" width="7.21875" style="1" customWidth="1"/>
    <col min="5" max="5" width="22.5546875" style="1" customWidth="1"/>
    <col min="6" max="6" width="9.44140625" style="1" customWidth="1"/>
    <col min="7" max="7" width="9.77734375" style="1" customWidth="1"/>
    <col min="8" max="8" width="2.77734375" style="1" customWidth="1"/>
    <col min="9" max="11" width="8.77734375" style="1"/>
    <col min="12" max="12" width="10.77734375" style="1" customWidth="1"/>
    <col min="13" max="13" width="9.21875" style="1" customWidth="1"/>
    <col min="14" max="14" width="8.44140625" style="1" customWidth="1"/>
    <col min="15" max="15" width="8.77734375" style="1"/>
    <col min="16" max="16" width="10.77734375" style="1" customWidth="1"/>
  </cols>
  <sheetData>
    <row r="1" spans="2:17" s="1" customFormat="1" ht="30.6" customHeight="1" x14ac:dyDescent="0.3">
      <c r="E1" s="62" t="s">
        <v>0</v>
      </c>
      <c r="F1" s="62"/>
      <c r="G1" s="62"/>
      <c r="H1" s="62"/>
      <c r="I1" s="62"/>
      <c r="J1" s="62"/>
      <c r="K1" s="62"/>
      <c r="L1" s="62"/>
      <c r="M1" s="62"/>
      <c r="N1" s="62"/>
      <c r="Q1" s="5">
        <v>2024</v>
      </c>
    </row>
    <row r="2" spans="2:17" s="1" customFormat="1" ht="26.55" customHeight="1" x14ac:dyDescent="0.3">
      <c r="E2" s="62"/>
      <c r="F2" s="62"/>
      <c r="G2" s="62"/>
      <c r="H2" s="62"/>
      <c r="I2" s="62"/>
      <c r="J2" s="62"/>
      <c r="K2" s="62"/>
      <c r="L2" s="62"/>
      <c r="M2" s="62"/>
      <c r="N2" s="62"/>
    </row>
    <row r="3" spans="2:17" s="1" customFormat="1" ht="14.55" customHeight="1" x14ac:dyDescent="0.3">
      <c r="D3" s="2"/>
      <c r="E3" s="2"/>
      <c r="G3" s="63" t="s">
        <v>58</v>
      </c>
      <c r="H3" s="63"/>
      <c r="I3" s="63"/>
      <c r="J3" s="63"/>
      <c r="K3" s="63"/>
      <c r="L3" s="63"/>
      <c r="M3" s="6"/>
      <c r="N3" s="6"/>
      <c r="O3" s="6"/>
    </row>
    <row r="4" spans="2:17" s="1" customFormat="1" ht="14.55" customHeight="1" x14ac:dyDescent="0.3">
      <c r="D4" s="2"/>
      <c r="E4" s="2"/>
      <c r="G4" s="56"/>
      <c r="H4" s="56"/>
      <c r="I4" s="56"/>
      <c r="J4" s="56"/>
      <c r="K4" s="56"/>
      <c r="L4" s="56"/>
      <c r="M4" s="6"/>
      <c r="N4" s="6"/>
      <c r="O4" s="6"/>
    </row>
    <row r="5" spans="2:17" s="1" customFormat="1" ht="14.55" customHeight="1" x14ac:dyDescent="0.3">
      <c r="E5" s="2"/>
      <c r="F5" s="70" t="s">
        <v>114</v>
      </c>
      <c r="G5" s="70"/>
      <c r="H5" s="70"/>
      <c r="I5" s="70"/>
      <c r="J5" s="70"/>
      <c r="K5" s="70"/>
      <c r="L5" s="70"/>
      <c r="M5" s="70"/>
      <c r="N5" s="58"/>
      <c r="O5" s="6"/>
      <c r="P5" s="6"/>
    </row>
    <row r="6" spans="2:17" s="1" customFormat="1" ht="20.100000000000001" customHeight="1" thickBot="1" x14ac:dyDescent="0.35">
      <c r="C6" s="3"/>
      <c r="D6" s="2"/>
      <c r="E6" s="2"/>
      <c r="H6" s="6"/>
      <c r="I6" s="6"/>
      <c r="J6" s="6"/>
      <c r="K6" s="6"/>
      <c r="L6" s="6"/>
      <c r="M6" s="6"/>
      <c r="N6" s="6"/>
      <c r="O6" s="6"/>
    </row>
    <row r="7" spans="2:17" s="1" customFormat="1" ht="21" customHeight="1" thickTop="1" thickBot="1" x14ac:dyDescent="0.35">
      <c r="C7" s="32" t="s">
        <v>69</v>
      </c>
      <c r="E7" s="80" t="s">
        <v>12</v>
      </c>
      <c r="F7" s="80"/>
      <c r="G7" s="80" t="s">
        <v>59</v>
      </c>
      <c r="H7" s="80"/>
      <c r="I7" s="80" t="s">
        <v>65</v>
      </c>
      <c r="J7" s="80"/>
      <c r="K7" s="104" t="s">
        <v>68</v>
      </c>
      <c r="L7" s="105"/>
      <c r="M7" s="81" t="s">
        <v>63</v>
      </c>
      <c r="N7" s="81"/>
    </row>
    <row r="8" spans="2:17" s="1" customFormat="1" ht="19.5" customHeight="1" thickTop="1" x14ac:dyDescent="0.3"/>
    <row r="9" spans="2:17" s="1" customFormat="1" x14ac:dyDescent="0.3">
      <c r="B9" s="14"/>
      <c r="C9" s="14"/>
      <c r="D9" s="14"/>
      <c r="E9" s="14"/>
      <c r="F9" s="14"/>
      <c r="G9" s="14"/>
      <c r="H9" s="14"/>
      <c r="I9" s="14"/>
      <c r="J9" s="72"/>
      <c r="K9" s="72"/>
      <c r="L9" s="72"/>
      <c r="M9" s="72"/>
      <c r="N9" s="72"/>
      <c r="O9" s="72"/>
      <c r="P9" s="72"/>
    </row>
    <row r="10" spans="2:17" s="1" customFormat="1" ht="3.6" customHeight="1" x14ac:dyDescent="0.3"/>
    <row r="11" spans="2:17" s="1" customFormat="1" ht="23.1" customHeight="1" x14ac:dyDescent="0.3">
      <c r="B11" s="85" t="s">
        <v>100</v>
      </c>
      <c r="C11" s="85"/>
      <c r="D11" s="85"/>
      <c r="E11" s="85"/>
      <c r="F11" s="85"/>
      <c r="G11" s="98"/>
      <c r="H11" s="99"/>
      <c r="I11" s="99"/>
      <c r="J11" s="100"/>
      <c r="K11" s="85" t="s">
        <v>102</v>
      </c>
      <c r="L11" s="85"/>
      <c r="M11" s="85"/>
      <c r="N11" s="85"/>
      <c r="O11" s="85"/>
      <c r="P11" s="51"/>
    </row>
    <row r="12" spans="2:17" s="1" customFormat="1" ht="23.1" customHeight="1" x14ac:dyDescent="0.3">
      <c r="B12" s="8"/>
      <c r="C12" s="8"/>
      <c r="D12" s="8"/>
      <c r="E12" s="8"/>
      <c r="F12" s="8"/>
      <c r="G12" s="49"/>
      <c r="H12" s="49"/>
      <c r="I12" s="49"/>
      <c r="J12" s="49"/>
      <c r="K12" s="8"/>
      <c r="L12" s="8"/>
      <c r="M12" s="8"/>
      <c r="N12" s="8"/>
      <c r="O12" s="8"/>
      <c r="P12" s="49"/>
    </row>
    <row r="13" spans="2:17" s="1" customFormat="1" ht="23.1" customHeight="1" x14ac:dyDescent="0.3">
      <c r="B13" s="85" t="s">
        <v>104</v>
      </c>
      <c r="C13" s="85"/>
      <c r="D13" s="85"/>
      <c r="E13" s="85"/>
      <c r="F13" s="85"/>
      <c r="G13" s="98"/>
      <c r="H13" s="99"/>
      <c r="I13" s="99"/>
      <c r="J13" s="100"/>
      <c r="K13" s="85" t="s">
        <v>105</v>
      </c>
      <c r="L13" s="85"/>
      <c r="M13" s="85"/>
      <c r="N13" s="85"/>
      <c r="O13" s="85"/>
      <c r="P13" s="52"/>
    </row>
    <row r="14" spans="2:17" s="1" customFormat="1" ht="22.05" customHeight="1" x14ac:dyDescent="0.3">
      <c r="B14" s="28"/>
      <c r="C14" s="28"/>
      <c r="D14" s="28"/>
      <c r="E14" s="28"/>
      <c r="F14" s="28"/>
      <c r="G14" s="28"/>
      <c r="H14" s="28"/>
      <c r="I14" s="28"/>
      <c r="J14" s="28"/>
      <c r="K14" s="28"/>
      <c r="L14" s="28"/>
      <c r="M14" s="28"/>
      <c r="N14" s="28"/>
      <c r="O14" s="28"/>
      <c r="P14" s="47"/>
      <c r="Q14" s="47"/>
    </row>
    <row r="15" spans="2:17" s="1" customFormat="1" x14ac:dyDescent="0.3">
      <c r="B15" s="97" t="s">
        <v>109</v>
      </c>
      <c r="C15" s="97"/>
      <c r="D15" s="97"/>
      <c r="E15" s="97"/>
      <c r="F15" s="97"/>
      <c r="G15" s="97"/>
      <c r="H15" s="97"/>
      <c r="I15" s="112" t="s">
        <v>108</v>
      </c>
      <c r="J15" s="112"/>
      <c r="K15" s="112"/>
      <c r="L15" s="112"/>
      <c r="M15" s="112"/>
      <c r="N15" s="112"/>
      <c r="O15" s="112"/>
      <c r="P15" s="47"/>
      <c r="Q15" s="47"/>
    </row>
    <row r="16" spans="2:17" s="1" customFormat="1" ht="3.6" customHeight="1" x14ac:dyDescent="0.3">
      <c r="P16" s="47"/>
      <c r="Q16" s="47"/>
    </row>
    <row r="17" spans="2:24" s="1" customFormat="1" ht="47.1" customHeight="1" x14ac:dyDescent="0.3">
      <c r="B17" s="103" t="s">
        <v>16</v>
      </c>
      <c r="C17" s="103"/>
      <c r="D17" s="103"/>
      <c r="E17" s="103"/>
      <c r="F17" s="103" t="s">
        <v>99</v>
      </c>
      <c r="G17" s="103"/>
      <c r="H17" s="103"/>
      <c r="I17" s="103" t="s">
        <v>98</v>
      </c>
      <c r="J17" s="103"/>
      <c r="K17" s="103" t="s">
        <v>57</v>
      </c>
      <c r="L17" s="103"/>
      <c r="M17" s="103" t="s">
        <v>103</v>
      </c>
      <c r="N17" s="103"/>
      <c r="O17" s="103"/>
      <c r="P17" s="47"/>
      <c r="Q17" s="47"/>
      <c r="S17" s="48"/>
    </row>
    <row r="18" spans="2:24" s="44" customFormat="1" ht="42.6" customHeight="1" x14ac:dyDescent="0.3">
      <c r="B18" s="109" t="str">
        <f>'Self-Assessment Form(A)'!B30:P30</f>
        <v>Target 1 : Learn how to implement scalable architecture using Angular modules, components, and services.</v>
      </c>
      <c r="C18" s="110"/>
      <c r="D18" s="110"/>
      <c r="E18" s="111"/>
      <c r="F18" s="93"/>
      <c r="G18" s="94"/>
      <c r="H18" s="95"/>
      <c r="I18" s="93"/>
      <c r="J18" s="95"/>
      <c r="K18" s="93">
        <f>(F18-I18) *G11</f>
        <v>0</v>
      </c>
      <c r="L18" s="95"/>
      <c r="M18" s="106" t="e">
        <f>(K18-P11)/P11</f>
        <v>#DIV/0!</v>
      </c>
      <c r="N18" s="107"/>
      <c r="O18" s="108"/>
      <c r="V18" s="1"/>
      <c r="W18" s="1"/>
      <c r="X18" s="1"/>
    </row>
    <row r="19" spans="2:24" s="1" customFormat="1" ht="41.55" customHeight="1" x14ac:dyDescent="0.3">
      <c r="B19" s="109" t="str">
        <f>'Self-Assessment Form(A)'!B31:P31</f>
        <v xml:space="preserve">Target 2 :Start Learning and Implementing with Components (building blocks of Angular apps), Templates (HTML with Angular syntax), and Data Binding,Then learn DirectivesServices &amp; Dependency Injection, Next, understand Routing, explore Pipes </v>
      </c>
      <c r="C19" s="110"/>
      <c r="D19" s="110"/>
      <c r="E19" s="111"/>
      <c r="F19" s="93"/>
      <c r="G19" s="94"/>
      <c r="H19" s="95"/>
      <c r="I19" s="93"/>
      <c r="J19" s="95"/>
      <c r="K19" s="93">
        <f>(F19-I19) *G11</f>
        <v>0</v>
      </c>
      <c r="L19" s="95"/>
      <c r="M19" s="106" t="e">
        <f>(K19-P11)/P11</f>
        <v>#DIV/0!</v>
      </c>
      <c r="N19" s="107"/>
      <c r="O19" s="108"/>
      <c r="P19" s="45"/>
    </row>
    <row r="20" spans="2:24" s="1" customFormat="1" ht="49.05" customHeight="1" x14ac:dyDescent="0.3">
      <c r="B20" s="109" t="str">
        <f>'Self-Assessment Form(A)'!B32:P32</f>
        <v>Target 3 : Understand and implement Angular core concepts including Components, Data Binding, Directives, Services, Routing, Forms, HTTP Client, and RxJS.</v>
      </c>
      <c r="C20" s="110"/>
      <c r="D20" s="110"/>
      <c r="E20" s="111"/>
      <c r="F20" s="93"/>
      <c r="G20" s="94"/>
      <c r="H20" s="95"/>
      <c r="I20" s="93"/>
      <c r="J20" s="95"/>
      <c r="K20" s="93">
        <f>(F20-I20) *G11</f>
        <v>0</v>
      </c>
      <c r="L20" s="95"/>
      <c r="M20" s="106" t="e">
        <f>(K20-P11)/P11</f>
        <v>#DIV/0!</v>
      </c>
      <c r="N20" s="107"/>
      <c r="O20" s="108"/>
    </row>
    <row r="21" spans="2:24" s="1" customFormat="1" x14ac:dyDescent="0.3">
      <c r="B21" s="37"/>
      <c r="E21" s="50" t="s">
        <v>101</v>
      </c>
      <c r="N21" s="45"/>
      <c r="P21" s="46"/>
    </row>
    <row r="22" spans="2:24" s="1" customFormat="1" x14ac:dyDescent="0.3"/>
    <row r="23" spans="2:24" s="1" customFormat="1" x14ac:dyDescent="0.3"/>
    <row r="24" spans="2:24" s="1" customFormat="1" ht="19.05" customHeight="1" x14ac:dyDescent="0.3">
      <c r="M24" s="91" t="s">
        <v>64</v>
      </c>
      <c r="N24" s="91"/>
      <c r="O24" s="29"/>
      <c r="R24" s="29"/>
    </row>
    <row r="25" spans="2:24" s="1" customFormat="1" ht="19.05" customHeight="1" x14ac:dyDescent="0.3">
      <c r="J25" s="45"/>
    </row>
    <row r="26" spans="2:24" s="1" customFormat="1" ht="60.6" customHeight="1" x14ac:dyDescent="0.3">
      <c r="C26" s="101" t="s">
        <v>106</v>
      </c>
      <c r="D26" s="102"/>
      <c r="E26" s="102"/>
      <c r="F26" s="102"/>
      <c r="G26" s="102"/>
      <c r="H26" s="102"/>
      <c r="I26" s="102"/>
      <c r="J26" s="102"/>
      <c r="K26" s="102"/>
      <c r="L26" s="102"/>
      <c r="M26" s="102"/>
      <c r="N26" s="102"/>
      <c r="O26" s="102"/>
    </row>
    <row r="27" spans="2:24" s="1" customFormat="1" hidden="1" x14ac:dyDescent="0.3"/>
    <row r="28" spans="2:24" s="1" customFormat="1" hidden="1" x14ac:dyDescent="0.3"/>
    <row r="29" spans="2:24" s="1" customFormat="1" hidden="1" x14ac:dyDescent="0.3"/>
    <row r="30" spans="2:24" s="1" customFormat="1" hidden="1" x14ac:dyDescent="0.3"/>
    <row r="31" spans="2:24" s="1" customFormat="1" hidden="1" x14ac:dyDescent="0.3"/>
    <row r="32" spans="2:24" s="1" customFormat="1" hidden="1" x14ac:dyDescent="0.3"/>
    <row r="33" s="1" customFormat="1" hidden="1" x14ac:dyDescent="0.3"/>
    <row r="34" s="1" customFormat="1" hidden="1" x14ac:dyDescent="0.3"/>
    <row r="35" s="1" customFormat="1" hidden="1" x14ac:dyDescent="0.3"/>
    <row r="36" x14ac:dyDescent="0.3"/>
  </sheetData>
  <mergeCells count="39">
    <mergeCell ref="B20:E20"/>
    <mergeCell ref="F20:H20"/>
    <mergeCell ref="I20:J20"/>
    <mergeCell ref="K20:L20"/>
    <mergeCell ref="M19:O19"/>
    <mergeCell ref="M20:O20"/>
    <mergeCell ref="F18:H18"/>
    <mergeCell ref="I18:J18"/>
    <mergeCell ref="K18:L18"/>
    <mergeCell ref="K17:L17"/>
    <mergeCell ref="B19:E19"/>
    <mergeCell ref="F19:H19"/>
    <mergeCell ref="I19:J19"/>
    <mergeCell ref="K19:L19"/>
    <mergeCell ref="C26:O26"/>
    <mergeCell ref="M24:N24"/>
    <mergeCell ref="M17:O17"/>
    <mergeCell ref="E1:N2"/>
    <mergeCell ref="G3:L3"/>
    <mergeCell ref="K7:L7"/>
    <mergeCell ref="M7:N7"/>
    <mergeCell ref="M18:O18"/>
    <mergeCell ref="K11:O11"/>
    <mergeCell ref="G11:J11"/>
    <mergeCell ref="B11:F11"/>
    <mergeCell ref="B17:E17"/>
    <mergeCell ref="F17:H17"/>
    <mergeCell ref="I17:J17"/>
    <mergeCell ref="B18:E18"/>
    <mergeCell ref="I15:O15"/>
    <mergeCell ref="B15:H15"/>
    <mergeCell ref="F5:M5"/>
    <mergeCell ref="B13:F13"/>
    <mergeCell ref="G13:J13"/>
    <mergeCell ref="K13:O13"/>
    <mergeCell ref="E7:F7"/>
    <mergeCell ref="G7:H7"/>
    <mergeCell ref="I7:J7"/>
    <mergeCell ref="J9:P9"/>
  </mergeCells>
  <hyperlinks>
    <hyperlink ref="M24" location="'Learning(C)'!A1" display="►LEARNING" xr:uid="{4665205E-C129-4F83-8A9E-E3428A7D2A75}"/>
  </hyperlinks>
  <pageMargins left="0.7" right="0.7" top="0.75" bottom="0.75" header="0.3" footer="0.3"/>
  <pageSetup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ormCategory xmlns="0ce022e8-4ecf-497f-b484-c73444ec20f4" xsi:nil="true"/>
    <_dlc_DocId xmlns="60ff39b3-e073-46de-a95b-ec68c24ccd3e">KVFEW4SWURWF-329277909-10</_dlc_DocId>
    <FormVersion xmlns="0ce022e8-4ecf-497f-b484-c73444ec20f4" xsi:nil="true"/>
    <FormLocale xmlns="0ce022e8-4ecf-497f-b484-c73444ec20f4" xsi:nil="true"/>
    <FormName xmlns="0ce022e8-4ecf-497f-b484-c73444ec20f4" xsi:nil="true"/>
    <FormDescription xmlns="0ce022e8-4ecf-497f-b484-c73444ec20f4" xsi:nil="true"/>
    <CustomContentTypeId xmlns="0ce022e8-4ecf-497f-b484-c73444ec20f4" xsi:nil="true"/>
    <ShowInCatalog xmlns="0ce022e8-4ecf-497f-b484-c73444ec20f4">false</ShowInCatalog>
    <FormId xmlns="0ce022e8-4ecf-497f-b484-c73444ec20f4" xsi:nil="true"/>
    <_dlc_DocIdUrl xmlns="60ff39b3-e073-46de-a95b-ec68c24ccd3e">
      <Url>https://clintune.sharepoint.com/teams/India/_layouts/15/DocIdRedir.aspx?ID=KVFEW4SWURWF-329277909-10</Url>
      <Description>KVFEW4SWURWF-329277909-10</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InfoPath Form Template" ma:contentTypeID="0x010100F8EF98760CBA4A94994F13BA881038FA007ECF3EFC644AB84284899C44E55805B9" ma:contentTypeVersion="1" ma:contentTypeDescription="A Microsoft InfoPath Form Template." ma:contentTypeScope="" ma:versionID="8a21ae509461e051da4541d002d91c88">
  <xsd:schema xmlns:xsd="http://www.w3.org/2001/XMLSchema" xmlns:xs="http://www.w3.org/2001/XMLSchema" xmlns:p="http://schemas.microsoft.com/office/2006/metadata/properties" xmlns:ns2="0ce022e8-4ecf-497f-b484-c73444ec20f4" xmlns:ns3="60ff39b3-e073-46de-a95b-ec68c24ccd3e" targetNamespace="http://schemas.microsoft.com/office/2006/metadata/properties" ma:root="true" ma:fieldsID="3daddbd144a1fcfa1743c17fa7e22748" ns2:_="" ns3:_="">
    <xsd:import namespace="0ce022e8-4ecf-497f-b484-c73444ec20f4"/>
    <xsd:import namespace="60ff39b3-e073-46de-a95b-ec68c24ccd3e"/>
    <xsd:element name="properties">
      <xsd:complexType>
        <xsd:sequence>
          <xsd:element name="documentManagement">
            <xsd:complexType>
              <xsd:all>
                <xsd:element ref="ns2:FormName" minOccurs="0"/>
                <xsd:element ref="ns2:FormCategory" minOccurs="0"/>
                <xsd:element ref="ns2:FormVersion" minOccurs="0"/>
                <xsd:element ref="ns2:FormId" minOccurs="0"/>
                <xsd:element ref="ns2:FormLocale" minOccurs="0"/>
                <xsd:element ref="ns2:FormDescription" minOccurs="0"/>
                <xsd:element ref="ns2:CustomContentTypeId" minOccurs="0"/>
                <xsd:element ref="ns2:ShowInCatalog"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022e8-4ecf-497f-b484-c73444ec20f4" elementFormDefault="qualified">
    <xsd:import namespace="http://schemas.microsoft.com/office/2006/documentManagement/types"/>
    <xsd:import namespace="http://schemas.microsoft.com/office/infopath/2007/PartnerControls"/>
    <xsd:element name="FormName" ma:index="8" nillable="true" ma:displayName="Form Name" ma:internalName="FormName">
      <xsd:simpleType>
        <xsd:restriction base="dms:Text"/>
      </xsd:simpleType>
    </xsd:element>
    <xsd:element name="FormCategory" ma:index="9" nillable="true" ma:displayName="Form Category" ma:internalName="FormCategory">
      <xsd:simpleType>
        <xsd:restriction base="dms:Text"/>
      </xsd:simpleType>
    </xsd:element>
    <xsd:element name="FormVersion" ma:index="10" nillable="true" ma:displayName="Form Version" ma:internalName="FormVersion">
      <xsd:simpleType>
        <xsd:restriction base="dms:Text"/>
      </xsd:simpleType>
    </xsd:element>
    <xsd:element name="FormId" ma:index="11" nillable="true" ma:displayName="Form ID" ma:internalName="FormId">
      <xsd:simpleType>
        <xsd:restriction base="dms:Text"/>
      </xsd:simpleType>
    </xsd:element>
    <xsd:element name="FormLocale" ma:index="12" nillable="true" ma:displayName="Form Locale" ma:internalName="FormLocale">
      <xsd:simpleType>
        <xsd:restriction base="dms:Text"/>
      </xsd:simpleType>
    </xsd:element>
    <xsd:element name="FormDescription" ma:index="13" nillable="true" ma:displayName="Form Description" ma:internalName="FormDescription">
      <xsd:simpleType>
        <xsd:restriction base="dms:Text"/>
      </xsd:simpleType>
    </xsd:element>
    <xsd:element name="CustomContentTypeId" ma:index="14" nillable="true" ma:displayName="Content Type ID" ma:hidden="true" ma:internalName="CustomContentTypeId">
      <xsd:simpleType>
        <xsd:restriction base="dms:Text"/>
      </xsd:simpleType>
    </xsd:element>
    <xsd:element name="ShowInCatalog" ma:index="15" nillable="true" ma:displayName="Show in Catalog" ma:default="TRUE" ma:internalName="ShowInCatalog">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0ff39b3-e073-46de-a95b-ec68c24ccd3e" elementFormDefault="qualified">
    <xsd:import namespace="http://schemas.microsoft.com/office/2006/documentManagement/types"/>
    <xsd:import namespace="http://schemas.microsoft.com/office/infopath/2007/PartnerControls"/>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E68796C-A12C-4BE6-B294-313105B3790C}">
  <ds:schemaRefs>
    <ds:schemaRef ds:uri="http://schemas.microsoft.com/sharepoint/v3/contenttype/forms"/>
  </ds:schemaRefs>
</ds:datastoreItem>
</file>

<file path=customXml/itemProps2.xml><?xml version="1.0" encoding="utf-8"?>
<ds:datastoreItem xmlns:ds="http://schemas.openxmlformats.org/officeDocument/2006/customXml" ds:itemID="{0261570B-7666-46D2-8AF1-2F0232DC421B}">
  <ds:schemaRefs>
    <ds:schemaRef ds:uri="http://schemas.microsoft.com/office/2006/metadata/properties"/>
    <ds:schemaRef ds:uri="http://schemas.microsoft.com/office/infopath/2007/PartnerControls"/>
    <ds:schemaRef ds:uri="0ce022e8-4ecf-497f-b484-c73444ec20f4"/>
    <ds:schemaRef ds:uri="60ff39b3-e073-46de-a95b-ec68c24ccd3e"/>
  </ds:schemaRefs>
</ds:datastoreItem>
</file>

<file path=customXml/itemProps3.xml><?xml version="1.0" encoding="utf-8"?>
<ds:datastoreItem xmlns:ds="http://schemas.openxmlformats.org/officeDocument/2006/customXml" ds:itemID="{987D971B-3152-47DC-A5C5-32A47BEDB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022e8-4ecf-497f-b484-c73444ec20f4"/>
    <ds:schemaRef ds:uri="60ff39b3-e073-46de-a95b-ec68c24cc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28A3FD7-9A26-44A0-ABCA-C4CCA12FCFC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Self-Assessment Form(A)</vt:lpstr>
      <vt:lpstr>Reaction(B)</vt:lpstr>
      <vt:lpstr>Learning(C)</vt:lpstr>
      <vt:lpstr>Retention(D)</vt:lpstr>
      <vt:lpstr>Implementation(E)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Raj</dc:creator>
  <cp:lastModifiedBy>Anil Kumar P</cp:lastModifiedBy>
  <cp:lastPrinted>2018-12-28T09:30:22Z</cp:lastPrinted>
  <dcterms:created xsi:type="dcterms:W3CDTF">2018-12-19T09:58:29Z</dcterms:created>
  <dcterms:modified xsi:type="dcterms:W3CDTF">2026-03-18T04:46:52Z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0x010100F8EF98760CBA4A94994F13BA881038FA007ECF3EFC644AB84284899C44E55805B9</vt:lpwstr>
  </property>
  <property fmtid="{D5CDD505-2E9C-101B-9397-08002B2CF9AE}" pid="3" name="_dlc_DocIdItemGuid">
    <vt:lpwstr>37661e0f-7fa8-49ea-b503-ad14e78aaa70</vt:lpwstr>
  </property>
</Properties>
</file>