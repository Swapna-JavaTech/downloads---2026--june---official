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wapnar\Downloads\"/>
    </mc:Choice>
  </mc:AlternateContent>
  <xr:revisionPtr revIDLastSave="0" documentId="13_ncr:1_{17E5EBA3-893B-49DF-88CB-D572A7F03AF3}" xr6:coauthVersionLast="47" xr6:coauthVersionMax="47" xr10:uidLastSave="{00000000-0000-0000-0000-000000000000}"/>
  <bookViews>
    <workbookView xWindow="0" yWindow="360" windowWidth="19420" windowHeight="10300" tabRatio="739" xr2:uid="{BD949517-5FBD-4E8D-BAE0-59AC50F62117}"/>
  </bookViews>
  <sheets>
    <sheet name="Self-Assessment Form(A)" sheetId="1" r:id="rId1"/>
    <sheet name="Reaction(B)" sheetId="2" r:id="rId2"/>
    <sheet name="Learning(C)" sheetId="3" r:id="rId3"/>
    <sheet name="Retention(D)" sheetId="4" r:id="rId4"/>
    <sheet name="Implementation(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20" i="3" l="1"/>
  <c r="R36" i="2"/>
  <c r="K20" i="5" l="1"/>
  <c r="M20" i="5" s="1"/>
  <c r="K19" i="5"/>
  <c r="M19" i="5" s="1"/>
  <c r="K18" i="5"/>
  <c r="M18" i="5" s="1"/>
  <c r="B20" i="5"/>
  <c r="B19" i="5"/>
  <c r="B18" i="5"/>
  <c r="Q21" i="3"/>
  <c r="Q20" i="3"/>
  <c r="O19" i="3"/>
  <c r="Q19" i="3" s="1"/>
  <c r="I7" i="2" l="1"/>
  <c r="I11" i="2"/>
  <c r="I12" i="4" l="1"/>
  <c r="I12" i="3"/>
  <c r="I12" i="2"/>
  <c r="I11" i="4"/>
  <c r="I9" i="4"/>
  <c r="I8" i="4"/>
  <c r="I7" i="4"/>
  <c r="P22" i="3"/>
  <c r="O22" i="3" l="1"/>
  <c r="O25" i="3" s="1"/>
  <c r="I11" i="3"/>
  <c r="I9" i="3"/>
  <c r="I8" i="3"/>
  <c r="I7" i="3"/>
  <c r="I8" i="2"/>
  <c r="I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Pradeep Raj</author>
  </authors>
  <commentList>
    <comment ref="B21" authorId="0" shapeId="0" xr:uid="{9A671F72-C72F-4D25-9DE3-35EB58C5CFFD}">
      <text>
        <r>
          <rPr>
            <b/>
            <sz val="9"/>
            <color indexed="81"/>
            <rFont val="Tahoma"/>
            <family val="2"/>
          </rPr>
          <t>To be filled by the Trainee</t>
        </r>
      </text>
    </comment>
    <comment ref="B29" authorId="0" shapeId="0" xr:uid="{ECF71342-227D-4565-8E6A-2A89B0D3E194}">
      <text>
        <r>
          <rPr>
            <b/>
            <sz val="9"/>
            <color indexed="81"/>
            <rFont val="Tahoma"/>
            <family val="2"/>
          </rPr>
          <t>To be filled by Project Manager along with the Trainee</t>
        </r>
      </text>
    </comment>
  </commentList>
</comments>
</file>

<file path=xl/sharedStrings.xml><?xml version="1.0" encoding="utf-8"?>
<sst xmlns="http://schemas.openxmlformats.org/spreadsheetml/2006/main" count="184" uniqueCount="127">
  <si>
    <t>COURSE EVALUATION FORM</t>
  </si>
  <si>
    <t>TRAINING SCHOOL</t>
  </si>
  <si>
    <t>TRAINER'S NAME</t>
  </si>
  <si>
    <t>TRAINEE NAME</t>
  </si>
  <si>
    <t>This Course Evaluation Form is designed to help us determine the effectiveness of the training program. We would appreciate if you could give us your comments so that we can cater to the needs of our future programs. If more than 1 trainer is involved, please request for additional course evaluation forms from HR. 
Please state the name of the trainer and complete the section on "Trainer Effectiveness" only.</t>
  </si>
  <si>
    <t>DESIGNATION/GRADE</t>
  </si>
  <si>
    <t>COURSE TITLE</t>
  </si>
  <si>
    <t>COURSE DATE</t>
  </si>
  <si>
    <t>TYPE OF TRAINING</t>
  </si>
  <si>
    <t>BU/PROJECT</t>
  </si>
  <si>
    <t>Internal</t>
  </si>
  <si>
    <t>External</t>
  </si>
  <si>
    <t>SELF ASSESSMENT</t>
  </si>
  <si>
    <t>SELF ASSESSMENT FORM(A)</t>
  </si>
  <si>
    <t>Before Training</t>
  </si>
  <si>
    <t>AVERAGE</t>
  </si>
  <si>
    <t>Performance Objective to be Improved through this training</t>
  </si>
  <si>
    <t>COURSE CONTENT</t>
  </si>
  <si>
    <t>Rating: Poor-1, Average-2, Good-3, Excellent-4</t>
  </si>
  <si>
    <t>Content of the Course</t>
  </si>
  <si>
    <t>TRAINER EFFECTIVENESS</t>
  </si>
  <si>
    <t>OVERALL ASSESSMENT OF THE COURSE</t>
  </si>
  <si>
    <t>Your overall assessment of the course is</t>
  </si>
  <si>
    <t xml:space="preserve">Knowledge of subject matter		</t>
  </si>
  <si>
    <t xml:space="preserve">Ability to sustain participants' interest in learning	</t>
  </si>
  <si>
    <t xml:space="preserve">Trainer's facilitation &amp; presentation skills	</t>
  </si>
  <si>
    <t>Will you recommend this trainer to other staff?</t>
  </si>
  <si>
    <t>Ability to explain concepts clearly</t>
  </si>
  <si>
    <t xml:space="preserve">Ability to stimulate discussion and encourage participation	</t>
  </si>
  <si>
    <t>Relevance of the course to your work</t>
  </si>
  <si>
    <t>Depth of the course</t>
  </si>
  <si>
    <t>Usefulness of the class exercises and materials</t>
  </si>
  <si>
    <t>Duration and pace of course</t>
  </si>
  <si>
    <t>Will you recommend this course to other staff?</t>
  </si>
  <si>
    <t>OTHER COMMENTS</t>
  </si>
  <si>
    <t>BEFORE TRAINING</t>
  </si>
  <si>
    <t>AFTER TRAINING</t>
  </si>
  <si>
    <t>COMPENTENCIES GAINED THROUGH TRAINING</t>
  </si>
  <si>
    <t>PROGRESS INDICATOR</t>
  </si>
  <si>
    <t>%</t>
  </si>
  <si>
    <t>INSTRUCTION NOTES</t>
  </si>
  <si>
    <t>PROJECT MANAGER</t>
  </si>
  <si>
    <t>REACTION(B)</t>
  </si>
  <si>
    <t>LEARNING(C)</t>
  </si>
  <si>
    <t>RETENTION(D)</t>
  </si>
  <si>
    <t>Increased productivity</t>
  </si>
  <si>
    <t>Increased Personal Confidence</t>
  </si>
  <si>
    <t>Increased customer satisfaction</t>
  </si>
  <si>
    <t>Stronger relationships with colleagues</t>
  </si>
  <si>
    <t>?</t>
  </si>
  <si>
    <t>Had applied within a week</t>
  </si>
  <si>
    <t>Had applied within 2-5 weeks</t>
  </si>
  <si>
    <t>Has not applied but plan to do in future</t>
  </si>
  <si>
    <t>There is no opportunity in the current work to apply what the staff has learnt</t>
  </si>
  <si>
    <t>Yes</t>
  </si>
  <si>
    <t>Please given an example of the success the staff has achieved since attending this training</t>
  </si>
  <si>
    <t>What are the additional outcomes that you are expecting from your staff to achieve in the future</t>
  </si>
  <si>
    <t>Productivity Value</t>
  </si>
  <si>
    <t>IMPLEMENTATION(E)</t>
  </si>
  <si>
    <t>REACTION</t>
  </si>
  <si>
    <t>►REACTION</t>
  </si>
  <si>
    <t>►LEARNING</t>
  </si>
  <si>
    <t>►RETENTION</t>
  </si>
  <si>
    <t>►IMPLEMENTATION</t>
  </si>
  <si>
    <t>►SELF-ASSESSMENT</t>
  </si>
  <si>
    <t>LEARNING</t>
  </si>
  <si>
    <t>►SELF ASSESSMENT</t>
  </si>
  <si>
    <t>IMPLEMENTATION</t>
  </si>
  <si>
    <t>RETENTION</t>
  </si>
  <si>
    <t>PROCESS FLOW</t>
  </si>
  <si>
    <t>For Manager Acknowledgement</t>
  </si>
  <si>
    <t>h</t>
  </si>
  <si>
    <r>
      <t xml:space="preserve">Online assessment score Pre-training session </t>
    </r>
    <r>
      <rPr>
        <b/>
        <vertAlign val="superscript"/>
        <sz val="12"/>
        <color rgb="FFFF0000"/>
        <rFont val="Tahoma"/>
        <family val="2"/>
      </rPr>
      <t>1</t>
    </r>
  </si>
  <si>
    <t>Legends:</t>
  </si>
  <si>
    <t>Scores between 10-20% rating 1 is awarded</t>
  </si>
  <si>
    <t>Scores between 21-40% 2 is awarded</t>
  </si>
  <si>
    <t>Scores between 41-60% 3 is awarded</t>
  </si>
  <si>
    <t>Scores between 61-80% 4 is awarded</t>
  </si>
  <si>
    <t>Scores between 81-100% 5 is awarded</t>
  </si>
  <si>
    <r>
      <t xml:space="preserve">How do you rate yourself on the subject knowledge of this course? </t>
    </r>
    <r>
      <rPr>
        <b/>
        <vertAlign val="superscript"/>
        <sz val="12"/>
        <color rgb="FFFF0000"/>
        <rFont val="Tahoma"/>
        <family val="2"/>
      </rPr>
      <t>2</t>
    </r>
  </si>
  <si>
    <t xml:space="preserve"> Legend</t>
  </si>
  <si>
    <t>No Knowledge</t>
  </si>
  <si>
    <t xml:space="preserve">Basic knowledge </t>
  </si>
  <si>
    <t>Minimal knowledge</t>
  </si>
  <si>
    <t>Sufficient knowledge and can apply on the job</t>
  </si>
  <si>
    <t>Expert, can train others</t>
  </si>
  <si>
    <r>
      <t>The course will help to add more value and enhances my capabilities in current job</t>
    </r>
    <r>
      <rPr>
        <sz val="8"/>
        <color theme="1"/>
        <rFont val="Tahoma"/>
        <family val="2"/>
      </rPr>
      <t xml:space="preserve"> (Rating: 1 - 5 --&gt; 1 being lowest and 5 being highest)</t>
    </r>
  </si>
  <si>
    <r>
      <t xml:space="preserve">How do you rate yourself on the subject knowledge of this course? </t>
    </r>
    <r>
      <rPr>
        <b/>
        <vertAlign val="superscript"/>
        <sz val="14"/>
        <color rgb="FFFF0000"/>
        <rFont val="Tahoma"/>
        <family val="2"/>
      </rPr>
      <t>2</t>
    </r>
  </si>
  <si>
    <r>
      <t xml:space="preserve">Online assessment score Pre-training session </t>
    </r>
    <r>
      <rPr>
        <b/>
        <vertAlign val="superscript"/>
        <sz val="14"/>
        <color rgb="FFFF0000"/>
        <rFont val="Tahoma"/>
        <family val="2"/>
      </rPr>
      <t>1</t>
    </r>
  </si>
  <si>
    <t>COMPETENCY GAINED</t>
  </si>
  <si>
    <t>OVERALL AVERAGE</t>
  </si>
  <si>
    <t>I believe that I could see an impact on the following areas as the staff consistently applies what he/she has learnt in the course</t>
  </si>
  <si>
    <t>RATING</t>
  </si>
  <si>
    <t>(Rating: 1 - 5 --&gt; 1 being lowest and 5 being highest)</t>
  </si>
  <si>
    <t>Progress in Quality</t>
  </si>
  <si>
    <t>More respect from my peers</t>
  </si>
  <si>
    <t xml:space="preserve">The staff has applied what he/she has learnt on the job </t>
  </si>
  <si>
    <r>
      <t>PERFORMANCE OBJECTIVE TO BE IMPROVED THROUGH THIS TRAINING(</t>
    </r>
    <r>
      <rPr>
        <b/>
        <sz val="10"/>
        <color rgb="FF00FA71"/>
        <rFont val="Tw Cen MT Condensed Extra Bold"/>
        <family val="2"/>
      </rPr>
      <t>TO BE FILLED BY THE MANAGER AND THE TRAINEE</t>
    </r>
    <r>
      <rPr>
        <b/>
        <sz val="10"/>
        <color theme="0"/>
        <rFont val="Tw Cen MT Condensed Extra Bold"/>
        <family val="2"/>
      </rPr>
      <t>)</t>
    </r>
  </si>
  <si>
    <t>Time taken after 3 months
(Man days)</t>
  </si>
  <si>
    <t xml:space="preserve">Current Timeline for the Target Completion
(Man days)
</t>
  </si>
  <si>
    <t>STAFF SALARY PER DAY(₹)</t>
  </si>
  <si>
    <t>Manager to fill this data</t>
  </si>
  <si>
    <t>INDIVIDUAL COST OF THE COURSE(₹)</t>
  </si>
  <si>
    <t>ROI</t>
  </si>
  <si>
    <t>TOTAL COST OF THE COURSE(₹)</t>
  </si>
  <si>
    <t>TOTAL PARTICIPANTS</t>
  </si>
  <si>
    <t>Formula: 
A-&gt; (Before Training days - After Training days) * Staff salary per day		
B-&gt; (A - Individual cost )/ Individual Cost</t>
  </si>
  <si>
    <t>State 'Yes' as applicable from the list</t>
  </si>
  <si>
    <r>
      <rPr>
        <b/>
        <sz val="10"/>
        <color theme="0"/>
        <rFont val="Arial Narrow"/>
        <family val="2"/>
      </rPr>
      <t>◄</t>
    </r>
    <r>
      <rPr>
        <b/>
        <sz val="10"/>
        <color theme="0"/>
        <rFont val="Tw Cen MT Condensed Extra Bold"/>
        <family val="2"/>
      </rPr>
      <t>AFTER TRAINING</t>
    </r>
    <r>
      <rPr>
        <b/>
        <sz val="10"/>
        <color theme="0"/>
        <rFont val="Century Gothic"/>
        <family val="2"/>
      </rPr>
      <t>►</t>
    </r>
  </si>
  <si>
    <t>◄BEFORE TRAINING►</t>
  </si>
  <si>
    <r>
      <t>(To be filled</t>
    </r>
    <r>
      <rPr>
        <b/>
        <sz val="11"/>
        <color rgb="FF0070C0"/>
        <rFont val="Tw Cen MT Condensed Extra Bold"/>
        <family val="2"/>
      </rPr>
      <t xml:space="preserve"> </t>
    </r>
    <r>
      <rPr>
        <b/>
        <u/>
        <sz val="11"/>
        <color rgb="FF0070C0"/>
        <rFont val="Tw Cen MT Condensed Extra Bold"/>
        <family val="2"/>
      </rPr>
      <t>immediately</t>
    </r>
    <r>
      <rPr>
        <b/>
        <sz val="11"/>
        <color rgb="FF0070C0"/>
        <rFont val="Tw Cen MT Condensed Extra Bold"/>
        <family val="2"/>
      </rPr>
      <t xml:space="preserve"> </t>
    </r>
    <r>
      <rPr>
        <sz val="11"/>
        <color rgb="FF0070C0"/>
        <rFont val="Tw Cen MT Condensed Extra Bold"/>
        <family val="2"/>
      </rPr>
      <t>by the end of</t>
    </r>
    <r>
      <rPr>
        <b/>
        <sz val="11"/>
        <color rgb="FF0070C0"/>
        <rFont val="Tw Cen MT Condensed Extra Bold"/>
        <family val="2"/>
      </rPr>
      <t xml:space="preserve"> </t>
    </r>
    <r>
      <rPr>
        <sz val="11"/>
        <color rgb="FF0070C0"/>
        <rFont val="Tw Cen MT Condensed Extra Bold"/>
        <family val="2"/>
      </rPr>
      <t>course completion)</t>
    </r>
  </si>
  <si>
    <r>
      <t>(To be filled</t>
    </r>
    <r>
      <rPr>
        <b/>
        <sz val="11"/>
        <color rgb="FF0070C0"/>
        <rFont val="Tw Cen MT Condensed Extra Bold"/>
        <family val="2"/>
      </rPr>
      <t xml:space="preserve"> </t>
    </r>
    <r>
      <rPr>
        <b/>
        <u/>
        <sz val="11"/>
        <color rgb="FF0070C0"/>
        <rFont val="Tw Cen MT Condensed Extra Bold"/>
        <family val="2"/>
      </rPr>
      <t>before</t>
    </r>
    <r>
      <rPr>
        <sz val="11"/>
        <color rgb="FF0070C0"/>
        <rFont val="Tw Cen MT Condensed Extra Bold"/>
        <family val="2"/>
      </rPr>
      <t xml:space="preserve"> the</t>
    </r>
    <r>
      <rPr>
        <b/>
        <sz val="11"/>
        <color rgb="FF0070C0"/>
        <rFont val="Tw Cen MT Condensed Extra Bold"/>
        <family val="2"/>
      </rPr>
      <t xml:space="preserve"> </t>
    </r>
    <r>
      <rPr>
        <sz val="11"/>
        <color rgb="FF0070C0"/>
        <rFont val="Tw Cen MT Condensed Extra Bold"/>
        <family val="2"/>
      </rPr>
      <t>course completion)</t>
    </r>
  </si>
  <si>
    <r>
      <t>(To be filled</t>
    </r>
    <r>
      <rPr>
        <b/>
        <sz val="11"/>
        <color rgb="FF0070C0"/>
        <rFont val="Tw Cen MT Condensed Extra Bold"/>
        <family val="2"/>
      </rPr>
      <t xml:space="preserve"> </t>
    </r>
    <r>
      <rPr>
        <b/>
        <u/>
        <sz val="11"/>
        <color rgb="FF0070C0"/>
        <rFont val="Tw Cen MT Condensed Extra Bold"/>
        <family val="2"/>
      </rPr>
      <t>after</t>
    </r>
    <r>
      <rPr>
        <sz val="11"/>
        <color rgb="FF0070C0"/>
        <rFont val="Tw Cen MT Condensed Extra Bold"/>
        <family val="2"/>
      </rPr>
      <t xml:space="preserve"> the</t>
    </r>
    <r>
      <rPr>
        <b/>
        <sz val="11"/>
        <color rgb="FF0070C0"/>
        <rFont val="Tw Cen MT Condensed Extra Bold"/>
        <family val="2"/>
      </rPr>
      <t xml:space="preserve"> </t>
    </r>
    <r>
      <rPr>
        <sz val="11"/>
        <color rgb="FF0070C0"/>
        <rFont val="Tw Cen MT Condensed Extra Bold"/>
        <family val="2"/>
      </rPr>
      <t>course completion)</t>
    </r>
  </si>
  <si>
    <r>
      <t xml:space="preserve">(To be filled </t>
    </r>
    <r>
      <rPr>
        <b/>
        <u/>
        <sz val="11"/>
        <color rgb="FF0070C0"/>
        <rFont val="Tw Cen MT Condensed Extra Bold"/>
        <family val="2"/>
      </rPr>
      <t>after 1 month</t>
    </r>
    <r>
      <rPr>
        <sz val="11"/>
        <color rgb="FF0070C0"/>
        <rFont val="Tw Cen MT Condensed Extra Bold"/>
        <family val="2"/>
      </rPr>
      <t xml:space="preserve"> of course completion)</t>
    </r>
  </si>
  <si>
    <r>
      <t>(To be filled</t>
    </r>
    <r>
      <rPr>
        <u/>
        <sz val="11"/>
        <color rgb="FF0070C0"/>
        <rFont val="Tw Cen MT Condensed Extra Bold"/>
        <family val="2"/>
      </rPr>
      <t xml:space="preserve"> </t>
    </r>
    <r>
      <rPr>
        <b/>
        <u/>
        <sz val="11"/>
        <color rgb="FF0070C0"/>
        <rFont val="Tw Cen MT Condensed Extra Bold"/>
        <family val="2"/>
      </rPr>
      <t>after 3 month</t>
    </r>
    <r>
      <rPr>
        <sz val="11"/>
        <color rgb="FF0070C0"/>
        <rFont val="Tw Cen MT Condensed Extra Bold"/>
        <family val="2"/>
      </rPr>
      <t xml:space="preserve"> of course completion)</t>
    </r>
  </si>
  <si>
    <t>No</t>
  </si>
  <si>
    <t>Rating: Poor 1-2, Average 2-3, Good-3-4, Excellent-4-5</t>
  </si>
  <si>
    <t>Swapna R</t>
  </si>
  <si>
    <t>CrimsonLogic</t>
  </si>
  <si>
    <t>NA</t>
  </si>
  <si>
    <t>PSA - GTOS</t>
  </si>
  <si>
    <t xml:space="preserve">Target 2 :Start Learning and Implementing with Components (building blocks of Angular apps), Templates (HTML with Angular syntax), and Data Binding,Then learn DirectivesServices &amp; Dependency Injection, Next, understand Routing, explore Pipes </t>
  </si>
  <si>
    <t>Target 3 : Understand and implement Angular core concepts including Components, Data Binding, Directives, Services, Routing, Forms, HTTP Client, and RxJS.</t>
  </si>
  <si>
    <t>Praveen Ganapathi</t>
  </si>
  <si>
    <t>Lead Software Engineer</t>
  </si>
  <si>
    <t>Angular with PrimeNG</t>
  </si>
  <si>
    <t xml:space="preserve">Target 1 : Learn how to implement scalable architecture using Angular modules, components, and services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</si>
</sst>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Calibri"/>
      <family val="2"/>
      <scheme val="minor"/>
    </font>
    <font>
      <sz val="30"/>
      <color theme="1"/>
      <name val="Tw Cen MT Condensed Extra Bold"/>
      <family val="2"/>
    </font>
    <font>
      <b/>
      <sz val="10"/>
      <color theme="0"/>
      <name val="Tw Cen MT Condensed Extra Bold"/>
      <family val="2"/>
    </font>
    <font>
      <sz val="11"/>
      <color theme="1"/>
      <name val="Verdana"/>
      <family val="2"/>
    </font>
    <font>
      <i/>
      <sz val="11"/>
      <color theme="0" tint="-0.249977111117893"/>
      <name val="Calibri"/>
      <family val="2"/>
      <scheme val="minor"/>
    </font>
    <font>
      <sz val="12"/>
      <color theme="1"/>
      <name val="Tw Cen MT Condensed Extra Bold"/>
      <family val="2"/>
    </font>
    <font>
      <b/>
      <sz val="11"/>
      <color theme="1"/>
      <name val="Tw Cen MT"/>
      <family val="2"/>
    </font>
    <font>
      <sz val="11"/>
      <color theme="1"/>
      <name val="Tw Cen MT"/>
      <family val="2"/>
    </font>
    <font>
      <sz val="10"/>
      <color theme="1"/>
      <name val="Segoe UI Light"/>
      <family val="2"/>
    </font>
    <font>
      <sz val="16"/>
      <color theme="1"/>
      <name val="Tw Cen MT Condensed Extra Bold"/>
      <family val="2"/>
    </font>
    <font>
      <sz val="11"/>
      <color theme="1"/>
      <name val="Tahoma"/>
      <family val="2"/>
    </font>
    <font>
      <sz val="10"/>
      <color theme="1"/>
      <name val="Tahoma"/>
      <family val="2"/>
    </font>
    <font>
      <b/>
      <sz val="10"/>
      <color theme="1"/>
      <name val="Tahoma"/>
      <family val="2"/>
    </font>
    <font>
      <b/>
      <sz val="11"/>
      <color theme="1"/>
      <name val="Calibri"/>
      <family val="2"/>
      <scheme val="minor"/>
    </font>
    <font>
      <sz val="11"/>
      <color theme="0"/>
      <name val="Calibri"/>
      <family val="2"/>
      <scheme val="minor"/>
    </font>
    <font>
      <sz val="9"/>
      <color theme="1"/>
      <name val="Tahoma"/>
      <family val="2"/>
    </font>
    <font>
      <b/>
      <sz val="10"/>
      <name val="Tw Cen MT Condensed Extra Bold"/>
      <family val="2"/>
    </font>
    <font>
      <sz val="9"/>
      <color theme="0"/>
      <name val="Tahoma"/>
      <family val="2"/>
    </font>
    <font>
      <u/>
      <sz val="11"/>
      <color theme="10"/>
      <name val="Calibri"/>
      <family val="2"/>
      <scheme val="minor"/>
    </font>
    <font>
      <b/>
      <sz val="9"/>
      <color rgb="FFFFCC00"/>
      <name val="Tahoma"/>
      <family val="2"/>
    </font>
    <font>
      <sz val="9"/>
      <color theme="0" tint="-4.9989318521683403E-2"/>
      <name val="Tahoma"/>
      <family val="2"/>
    </font>
    <font>
      <b/>
      <sz val="10"/>
      <color theme="1"/>
      <name val="Tw Cen MT"/>
      <family val="2"/>
    </font>
    <font>
      <sz val="11"/>
      <color rgb="FFFF0000"/>
      <name val="Calibri"/>
      <family val="2"/>
      <scheme val="minor"/>
    </font>
    <font>
      <sz val="11"/>
      <color theme="1"/>
      <name val="Calibri"/>
      <family val="2"/>
      <scheme val="minor"/>
    </font>
    <font>
      <b/>
      <vertAlign val="superscript"/>
      <sz val="14"/>
      <color rgb="FFFF0000"/>
      <name val="Tahoma"/>
      <family val="2"/>
    </font>
    <font>
      <b/>
      <vertAlign val="superscript"/>
      <sz val="12"/>
      <color rgb="FFFF0000"/>
      <name val="Tahoma"/>
      <family val="2"/>
    </font>
    <font>
      <b/>
      <sz val="11"/>
      <color rgb="FFFF0000"/>
      <name val="Calibri"/>
      <family val="2"/>
      <scheme val="minor"/>
    </font>
    <font>
      <sz val="8"/>
      <color theme="1"/>
      <name val="Tahoma"/>
      <family val="2"/>
    </font>
    <font>
      <sz val="9"/>
      <color rgb="FFFF0000"/>
      <name val="Tahoma"/>
      <family val="2"/>
    </font>
    <font>
      <b/>
      <sz val="10"/>
      <color rgb="FF00FA71"/>
      <name val="Tw Cen MT Condensed Extra Bold"/>
      <family val="2"/>
    </font>
    <font>
      <sz val="8"/>
      <color rgb="FFFF0000"/>
      <name val="Tahoma"/>
      <family val="2"/>
    </font>
    <font>
      <b/>
      <sz val="10"/>
      <color theme="0"/>
      <name val="Arial Narrow"/>
      <family val="2"/>
    </font>
    <font>
      <b/>
      <sz val="10"/>
      <color theme="0"/>
      <name val="Century Gothic"/>
      <family val="2"/>
    </font>
    <font>
      <b/>
      <u/>
      <sz val="11"/>
      <color theme="1"/>
      <name val="Calibri"/>
      <family val="2"/>
      <scheme val="minor"/>
    </font>
    <font>
      <b/>
      <sz val="9"/>
      <color theme="1"/>
      <name val="Tahoma"/>
      <family val="2"/>
    </font>
    <font>
      <sz val="11"/>
      <color rgb="FF0070C0"/>
      <name val="Tw Cen MT Condensed Extra Bold"/>
      <family val="2"/>
    </font>
    <font>
      <b/>
      <sz val="11"/>
      <color rgb="FF0070C0"/>
      <name val="Tw Cen MT Condensed Extra Bold"/>
      <family val="2"/>
    </font>
    <font>
      <b/>
      <u/>
      <sz val="11"/>
      <color rgb="FF0070C0"/>
      <name val="Tw Cen MT Condensed Extra Bold"/>
      <family val="2"/>
    </font>
    <font>
      <u/>
      <sz val="11"/>
      <color rgb="FF0070C0"/>
      <name val="Tw Cen MT Condensed Extra Bold"/>
      <family val="2"/>
    </font>
    <font>
      <b/>
      <sz val="9"/>
      <color indexed="81"/>
      <name val="Tahoma"/>
      <family val="2"/>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7" tint="-0.499984740745262"/>
        <bgColor indexed="64"/>
      </patternFill>
    </fill>
    <fill>
      <patternFill patternType="solid">
        <fgColor rgb="FF00FA71"/>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00B050"/>
        <bgColor indexed="64"/>
      </patternFill>
    </fill>
  </fills>
  <borders count="22">
    <border>
      <left/>
      <right/>
      <top/>
      <bottom/>
      <diagonal/>
    </border>
    <border>
      <left/>
      <right style="hair">
        <color indexed="64"/>
      </right>
      <top/>
      <bottom/>
      <diagonal/>
    </border>
    <border>
      <left style="hair">
        <color indexed="64"/>
      </left>
      <right/>
      <top/>
      <bottom style="thick">
        <color indexed="64"/>
      </bottom>
      <diagonal/>
    </border>
    <border>
      <left/>
      <right/>
      <top/>
      <bottom style="thick">
        <color indexed="64"/>
      </bottom>
      <diagonal/>
    </border>
    <border>
      <left/>
      <right/>
      <top style="thick">
        <color indexed="64"/>
      </top>
      <bottom style="thick">
        <color indexed="64"/>
      </bottom>
      <diagonal/>
    </border>
    <border>
      <left style="hair">
        <color indexed="64"/>
      </left>
      <right/>
      <top style="thick">
        <color indexed="64"/>
      </top>
      <bottom style="thick">
        <color indexed="64"/>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right/>
      <top style="dotted">
        <color indexed="64"/>
      </top>
      <bottom/>
      <diagonal/>
    </border>
    <border>
      <left style="thick">
        <color theme="0"/>
      </left>
      <right style="thick">
        <color theme="0"/>
      </right>
      <top style="thick">
        <color theme="0"/>
      </top>
      <bottom style="thick">
        <color theme="0"/>
      </bottom>
      <diagonal/>
    </border>
    <border>
      <left/>
      <right style="dotted">
        <color indexed="64"/>
      </right>
      <top style="dotted">
        <color indexed="64"/>
      </top>
      <bottom/>
      <diagonal/>
    </border>
    <border>
      <left style="dotted">
        <color indexed="64"/>
      </left>
      <right style="hair">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dotted">
        <color indexed="64"/>
      </left>
      <right/>
      <top style="dotted">
        <color indexed="64"/>
      </top>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
      <left style="dotted">
        <color indexed="64"/>
      </left>
      <right/>
      <top/>
      <bottom/>
      <diagonal/>
    </border>
    <border>
      <left style="hair">
        <color indexed="64"/>
      </left>
      <right/>
      <top/>
      <bottom/>
      <diagonal/>
    </border>
  </borders>
  <cellStyleXfs count="3">
    <xf numFmtId="0" fontId="0" fillId="0" borderId="0"/>
    <xf numFmtId="0" fontId="18" fillId="0" borderId="0" applyNumberFormat="0" applyFill="0" applyBorder="0" applyAlignment="0" applyProtection="0"/>
    <xf numFmtId="9" fontId="23" fillId="0" borderId="0" applyFont="0" applyFill="0" applyBorder="0" applyAlignment="0" applyProtection="0"/>
  </cellStyleXfs>
  <cellXfs count="113">
    <xf numFmtId="0" fontId="0" fillId="0" borderId="0" xfId="0"/>
    <xf numFmtId="0" fontId="0" fillId="2" borderId="0" xfId="0" applyFill="1"/>
    <xf numFmtId="0" fontId="3" fillId="2" borderId="0" xfId="0" applyFont="1" applyFill="1" applyAlignment="1">
      <alignment horizontal="left" vertical="top"/>
    </xf>
    <xf numFmtId="0" fontId="4" fillId="2" borderId="0" xfId="0" applyFont="1" applyFill="1"/>
    <xf numFmtId="0" fontId="5" fillId="2" borderId="0" xfId="0" applyFont="1" applyFill="1" applyAlignment="1">
      <alignment horizontal="center" vertical="top" wrapText="1"/>
    </xf>
    <xf numFmtId="0" fontId="7" fillId="2" borderId="0" xfId="0" applyFont="1" applyFill="1" applyAlignment="1">
      <alignment horizontal="center" vertical="center"/>
    </xf>
    <xf numFmtId="0" fontId="1" fillId="2" borderId="0" xfId="0" applyFont="1" applyFill="1" applyAlignment="1">
      <alignment vertical="center" wrapText="1"/>
    </xf>
    <xf numFmtId="0" fontId="0" fillId="2" borderId="0" xfId="0" applyFill="1" applyAlignment="1">
      <alignment horizontal="left"/>
    </xf>
    <xf numFmtId="0" fontId="2" fillId="2" borderId="0" xfId="0" applyFont="1" applyFill="1" applyAlignment="1">
      <alignment horizontal="center" vertical="center"/>
    </xf>
    <xf numFmtId="0" fontId="6" fillId="2" borderId="0" xfId="0" applyFont="1" applyFill="1" applyAlignment="1">
      <alignment horizontal="left"/>
    </xf>
    <xf numFmtId="0" fontId="10" fillId="2" borderId="0" xfId="0" applyFont="1" applyFill="1" applyAlignment="1">
      <alignment horizontal="left"/>
    </xf>
    <xf numFmtId="49" fontId="0" fillId="2" borderId="0" xfId="0" applyNumberFormat="1" applyFill="1"/>
    <xf numFmtId="0" fontId="12" fillId="2" borderId="0" xfId="0" applyFont="1" applyFill="1" applyAlignment="1">
      <alignment horizontal="left"/>
    </xf>
    <xf numFmtId="0" fontId="2" fillId="4" borderId="7" xfId="0" applyFont="1" applyFill="1" applyBorder="1" applyAlignment="1">
      <alignment horizontal="center" vertical="center"/>
    </xf>
    <xf numFmtId="0" fontId="2" fillId="4" borderId="7" xfId="0" applyFont="1" applyFill="1" applyBorder="1" applyAlignment="1">
      <alignment vertical="center"/>
    </xf>
    <xf numFmtId="0" fontId="11" fillId="2" borderId="6" xfId="0" applyFont="1" applyFill="1" applyBorder="1" applyAlignment="1">
      <alignment horizontal="center" vertical="center"/>
    </xf>
    <xf numFmtId="0" fontId="5" fillId="2" borderId="0" xfId="0" applyFont="1" applyFill="1" applyAlignment="1">
      <alignment vertical="center" wrapText="1"/>
    </xf>
    <xf numFmtId="164" fontId="12" fillId="2" borderId="8" xfId="0" applyNumberFormat="1" applyFont="1" applyFill="1" applyBorder="1" applyAlignment="1">
      <alignment horizontal="center" vertical="center"/>
    </xf>
    <xf numFmtId="1" fontId="11" fillId="6" borderId="8" xfId="0" applyNumberFormat="1" applyFont="1" applyFill="1" applyBorder="1" applyAlignment="1">
      <alignment horizontal="center" vertical="center"/>
    </xf>
    <xf numFmtId="0" fontId="11" fillId="5" borderId="8" xfId="0" applyFont="1" applyFill="1" applyBorder="1" applyAlignment="1">
      <alignment horizontal="center" vertical="center"/>
    </xf>
    <xf numFmtId="0" fontId="2" fillId="4" borderId="0" xfId="0" applyFont="1" applyFill="1" applyAlignment="1">
      <alignment horizontal="center" vertical="center"/>
    </xf>
    <xf numFmtId="1" fontId="11" fillId="6" borderId="6" xfId="0" applyNumberFormat="1" applyFont="1" applyFill="1" applyBorder="1" applyAlignment="1">
      <alignment horizontal="center" vertical="center"/>
    </xf>
    <xf numFmtId="1" fontId="11" fillId="6" borderId="11" xfId="0" applyNumberFormat="1" applyFont="1" applyFill="1" applyBorder="1" applyAlignment="1">
      <alignment horizontal="center" vertical="center"/>
    </xf>
    <xf numFmtId="0" fontId="13" fillId="2" borderId="10" xfId="0" applyFont="1" applyFill="1" applyBorder="1" applyAlignment="1">
      <alignment vertical="center"/>
    </xf>
    <xf numFmtId="164" fontId="12" fillId="2" borderId="8" xfId="0" applyNumberFormat="1" applyFont="1" applyFill="1" applyBorder="1" applyAlignment="1">
      <alignment horizontal="right" vertical="center"/>
    </xf>
    <xf numFmtId="0" fontId="15" fillId="2" borderId="0" xfId="0" applyFont="1" applyFill="1"/>
    <xf numFmtId="0" fontId="2" fillId="4" borderId="7" xfId="0" applyFont="1" applyFill="1" applyBorder="1" applyAlignment="1">
      <alignment horizontal="center" vertical="center" wrapText="1"/>
    </xf>
    <xf numFmtId="0" fontId="12" fillId="2" borderId="6" xfId="0" applyFont="1" applyFill="1" applyBorder="1" applyAlignment="1">
      <alignment horizontal="center" vertical="center"/>
    </xf>
    <xf numFmtId="0" fontId="11" fillId="2" borderId="0" xfId="0" applyFont="1" applyFill="1" applyAlignment="1">
      <alignment vertical="center"/>
    </xf>
    <xf numFmtId="0" fontId="14" fillId="2" borderId="0" xfId="0" applyFont="1" applyFill="1"/>
    <xf numFmtId="0" fontId="17" fillId="7" borderId="0" xfId="1" applyFont="1" applyFill="1" applyAlignment="1">
      <alignment horizontal="center" vertical="center"/>
    </xf>
    <xf numFmtId="0" fontId="17" fillId="2" borderId="0" xfId="1" applyFont="1" applyFill="1" applyAlignment="1">
      <alignment horizontal="center" vertical="center"/>
    </xf>
    <xf numFmtId="0" fontId="21" fillId="2" borderId="0" xfId="0" applyFont="1" applyFill="1" applyAlignment="1">
      <alignment vertical="center"/>
    </xf>
    <xf numFmtId="14" fontId="6" fillId="2" borderId="0" xfId="0" applyNumberFormat="1" applyFont="1" applyFill="1" applyAlignment="1">
      <alignment horizontal="left" vertical="center" wrapText="1"/>
    </xf>
    <xf numFmtId="0" fontId="11" fillId="2" borderId="8"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0" xfId="0" applyFont="1" applyFill="1" applyBorder="1" applyAlignment="1">
      <alignment horizontal="left" vertical="center"/>
    </xf>
    <xf numFmtId="0" fontId="22" fillId="2" borderId="0" xfId="0" applyFont="1" applyFill="1"/>
    <xf numFmtId="0" fontId="26" fillId="2" borderId="0" xfId="0" applyFont="1" applyFill="1"/>
    <xf numFmtId="0" fontId="26" fillId="2" borderId="0" xfId="0" applyFont="1" applyFill="1" applyAlignment="1">
      <alignment horizontal="center" vertical="center"/>
    </xf>
    <xf numFmtId="10" fontId="11" fillId="2" borderId="15" xfId="2" applyNumberFormat="1" applyFont="1" applyFill="1" applyBorder="1" applyAlignment="1">
      <alignment horizontal="center" vertical="center"/>
    </xf>
    <xf numFmtId="0" fontId="11" fillId="5" borderId="17" xfId="0" applyFont="1" applyFill="1" applyBorder="1" applyAlignment="1">
      <alignment horizontal="center" vertical="center"/>
    </xf>
    <xf numFmtId="164" fontId="12" fillId="2" borderId="16" xfId="0" applyNumberFormat="1" applyFont="1" applyFill="1" applyBorder="1" applyAlignment="1">
      <alignment horizontal="center" vertical="center"/>
    </xf>
    <xf numFmtId="0" fontId="28" fillId="2" borderId="0" xfId="0" applyFont="1" applyFill="1" applyAlignment="1">
      <alignment vertical="top"/>
    </xf>
    <xf numFmtId="0" fontId="0" fillId="2" borderId="0" xfId="0" applyFill="1" applyAlignment="1">
      <alignment vertical="top"/>
    </xf>
    <xf numFmtId="9" fontId="0" fillId="2" borderId="0" xfId="2" applyFont="1" applyFill="1"/>
    <xf numFmtId="9" fontId="0" fillId="2" borderId="0" xfId="0" applyNumberFormat="1" applyFill="1"/>
    <xf numFmtId="0" fontId="0" fillId="2" borderId="0" xfId="0" applyFill="1" applyAlignment="1">
      <alignment horizontal="center" wrapText="1"/>
    </xf>
    <xf numFmtId="0" fontId="0" fillId="2" borderId="0" xfId="0" applyFill="1" applyAlignment="1">
      <alignment vertical="top" wrapText="1"/>
    </xf>
    <xf numFmtId="2" fontId="16" fillId="2" borderId="0" xfId="0" applyNumberFormat="1" applyFont="1" applyFill="1" applyAlignment="1">
      <alignment horizontal="center" vertical="center"/>
    </xf>
    <xf numFmtId="0" fontId="30" fillId="2" borderId="0" xfId="0" applyFont="1" applyFill="1"/>
    <xf numFmtId="2" fontId="16" fillId="2" borderId="16" xfId="0" applyNumberFormat="1" applyFont="1" applyFill="1" applyBorder="1" applyAlignment="1">
      <alignment vertical="center"/>
    </xf>
    <xf numFmtId="1" fontId="16" fillId="2" borderId="16" xfId="0" applyNumberFormat="1" applyFont="1" applyFill="1" applyBorder="1" applyAlignment="1">
      <alignment horizontal="center" vertical="center"/>
    </xf>
    <xf numFmtId="0" fontId="33" fillId="2" borderId="0" xfId="0" applyFont="1" applyFill="1"/>
    <xf numFmtId="0" fontId="34" fillId="2" borderId="0" xfId="0" applyFont="1" applyFill="1"/>
    <xf numFmtId="0" fontId="15" fillId="2" borderId="21" xfId="0" applyFont="1" applyFill="1" applyBorder="1"/>
    <xf numFmtId="0" fontId="9" fillId="2" borderId="0" xfId="0" applyFont="1" applyFill="1" applyAlignment="1">
      <alignment horizontal="center" vertical="center" wrapText="1"/>
    </xf>
    <xf numFmtId="0" fontId="35" fillId="2" borderId="0" xfId="0" applyFont="1" applyFill="1" applyAlignment="1">
      <alignment horizontal="center" vertical="center" wrapText="1"/>
    </xf>
    <xf numFmtId="0" fontId="35" fillId="2" borderId="0" xfId="0" applyFont="1" applyFill="1" applyAlignment="1">
      <alignment vertical="center" wrapText="1"/>
    </xf>
    <xf numFmtId="164" fontId="12" fillId="2" borderId="6" xfId="0" applyNumberFormat="1" applyFont="1" applyFill="1" applyBorder="1" applyAlignment="1">
      <alignment horizontal="center" vertical="center"/>
    </xf>
    <xf numFmtId="0" fontId="2" fillId="4" borderId="0" xfId="0" applyFont="1" applyFill="1" applyAlignment="1">
      <alignment horizontal="center" vertical="center"/>
    </xf>
    <xf numFmtId="49" fontId="12" fillId="2" borderId="8" xfId="0" applyNumberFormat="1" applyFont="1" applyFill="1" applyBorder="1" applyAlignment="1">
      <alignment horizontal="left" vertical="center" wrapText="1"/>
    </xf>
    <xf numFmtId="49" fontId="12" fillId="2" borderId="9" xfId="0" applyNumberFormat="1" applyFont="1" applyFill="1" applyBorder="1" applyAlignment="1">
      <alignment horizontal="left" vertical="center" wrapText="1"/>
    </xf>
    <xf numFmtId="49" fontId="12" fillId="2" borderId="10" xfId="0" applyNumberFormat="1" applyFont="1" applyFill="1" applyBorder="1" applyAlignment="1">
      <alignment horizontal="left" vertical="center" wrapText="1"/>
    </xf>
    <xf numFmtId="0" fontId="11" fillId="2" borderId="6" xfId="0" applyFont="1" applyFill="1" applyBorder="1" applyAlignment="1">
      <alignment horizontal="left" vertical="center"/>
    </xf>
    <xf numFmtId="0" fontId="1" fillId="2" borderId="0" xfId="0" applyFont="1" applyFill="1" applyAlignment="1">
      <alignment horizontal="center" vertical="center" wrapText="1"/>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4" xfId="0" applyFont="1" applyFill="1" applyBorder="1" applyAlignment="1">
      <alignment horizontal="left" vertical="center" wrapText="1"/>
    </xf>
    <xf numFmtId="0" fontId="9" fillId="2" borderId="0" xfId="0" applyFont="1" applyFill="1" applyAlignment="1">
      <alignment horizontal="center" vertical="center" wrapText="1"/>
    </xf>
    <xf numFmtId="0" fontId="5" fillId="2" borderId="0" xfId="0" applyFont="1" applyFill="1" applyAlignment="1">
      <alignment horizontal="left" vertical="center" wrapText="1"/>
    </xf>
    <xf numFmtId="0" fontId="5" fillId="2" borderId="1" xfId="0" applyFont="1" applyFill="1" applyBorder="1" applyAlignment="1">
      <alignment horizontal="left" vertical="center" wrapText="1"/>
    </xf>
    <xf numFmtId="0" fontId="5" fillId="2" borderId="0" xfId="0" applyFont="1" applyFill="1" applyAlignment="1">
      <alignment vertical="center" wrapText="1"/>
    </xf>
    <xf numFmtId="49" fontId="8" fillId="2" borderId="0" xfId="0" applyNumberFormat="1" applyFont="1" applyFill="1" applyAlignment="1">
      <alignment horizontal="left" vertical="top" wrapText="1"/>
    </xf>
    <xf numFmtId="49" fontId="8" fillId="2" borderId="0" xfId="0" applyNumberFormat="1" applyFont="1" applyFill="1" applyAlignment="1">
      <alignment horizontal="left" vertical="top"/>
    </xf>
    <xf numFmtId="0" fontId="35" fillId="2" borderId="0" xfId="0" applyFont="1" applyFill="1" applyAlignment="1">
      <alignment horizontal="center" vertical="center" wrapText="1"/>
    </xf>
    <xf numFmtId="0" fontId="19" fillId="8" borderId="13" xfId="1" applyFont="1" applyFill="1" applyBorder="1" applyAlignment="1">
      <alignment horizontal="center" vertical="center"/>
    </xf>
    <xf numFmtId="0" fontId="20" fillId="7" borderId="13" xfId="1" applyFont="1" applyFill="1" applyBorder="1" applyAlignment="1">
      <alignment horizontal="center" vertical="center"/>
    </xf>
    <xf numFmtId="0" fontId="5" fillId="2" borderId="1" xfId="0" applyFont="1" applyFill="1" applyBorder="1" applyAlignment="1">
      <alignment vertical="center" wrapText="1"/>
    </xf>
    <xf numFmtId="14" fontId="6" fillId="3" borderId="2" xfId="0" applyNumberFormat="1" applyFont="1" applyFill="1" applyBorder="1" applyAlignment="1">
      <alignment horizontal="left" vertical="center" wrapText="1"/>
    </xf>
    <xf numFmtId="0" fontId="2" fillId="4" borderId="7" xfId="0" applyFont="1" applyFill="1" applyBorder="1" applyAlignment="1">
      <alignment horizontal="center" vertical="center"/>
    </xf>
    <xf numFmtId="0" fontId="11" fillId="2" borderId="8"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0" xfId="0" applyFont="1" applyFill="1" applyBorder="1" applyAlignment="1">
      <alignment horizontal="left" vertical="center"/>
    </xf>
    <xf numFmtId="0" fontId="5" fillId="2" borderId="12" xfId="0" applyFont="1" applyFill="1" applyBorder="1" applyAlignment="1">
      <alignment horizontal="right" vertical="center" wrapText="1"/>
    </xf>
    <xf numFmtId="0" fontId="5" fillId="2" borderId="14" xfId="0" applyFont="1" applyFill="1" applyBorder="1" applyAlignment="1">
      <alignment horizontal="right" vertical="center" wrapText="1"/>
    </xf>
    <xf numFmtId="12" fontId="6" fillId="3" borderId="2" xfId="0" applyNumberFormat="1" applyFont="1" applyFill="1" applyBorder="1" applyAlignment="1">
      <alignment horizontal="left" vertical="center" wrapText="1"/>
    </xf>
    <xf numFmtId="12" fontId="6" fillId="3" borderId="3" xfId="0" applyNumberFormat="1" applyFont="1" applyFill="1" applyBorder="1" applyAlignment="1">
      <alignment horizontal="left" vertical="center" wrapText="1"/>
    </xf>
    <xf numFmtId="14" fontId="6" fillId="3" borderId="3" xfId="0" applyNumberFormat="1" applyFont="1" applyFill="1" applyBorder="1" applyAlignment="1">
      <alignment horizontal="left" vertical="center" wrapText="1"/>
    </xf>
    <xf numFmtId="0" fontId="17" fillId="7" borderId="0" xfId="1" applyFont="1" applyFill="1" applyAlignment="1">
      <alignment horizontal="center" vertical="center"/>
    </xf>
    <xf numFmtId="0" fontId="2" fillId="4" borderId="7" xfId="0" applyFont="1" applyFill="1" applyBorder="1" applyAlignment="1">
      <alignment horizontal="right" vertical="center"/>
    </xf>
    <xf numFmtId="0" fontId="5" fillId="2" borderId="12" xfId="0" applyFont="1" applyFill="1" applyBorder="1" applyAlignment="1">
      <alignment horizontal="center" vertical="center" wrapText="1"/>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8" xfId="0" applyFont="1" applyFill="1" applyBorder="1" applyAlignment="1">
      <alignment horizontal="left" vertical="center" wrapText="1"/>
    </xf>
    <xf numFmtId="49" fontId="11" fillId="2" borderId="8" xfId="0" applyNumberFormat="1" applyFont="1" applyFill="1" applyBorder="1" applyAlignment="1">
      <alignment horizontal="left" vertical="top" wrapText="1"/>
    </xf>
    <xf numFmtId="49" fontId="11" fillId="2" borderId="9" xfId="0" applyNumberFormat="1" applyFont="1" applyFill="1" applyBorder="1" applyAlignment="1">
      <alignment horizontal="left" vertical="top" wrapText="1"/>
    </xf>
    <xf numFmtId="49" fontId="11" fillId="2" borderId="10" xfId="0" applyNumberFormat="1" applyFont="1" applyFill="1" applyBorder="1" applyAlignment="1">
      <alignment horizontal="left" vertical="top" wrapText="1"/>
    </xf>
    <xf numFmtId="9" fontId="11" fillId="2" borderId="8" xfId="2" applyFont="1" applyFill="1" applyBorder="1" applyAlignment="1">
      <alignment horizontal="center" vertical="center"/>
    </xf>
    <xf numFmtId="9" fontId="11" fillId="2" borderId="9" xfId="2" applyFont="1" applyFill="1" applyBorder="1" applyAlignment="1">
      <alignment horizontal="center" vertical="center"/>
    </xf>
    <xf numFmtId="9" fontId="11" fillId="2" borderId="10" xfId="2" applyFont="1" applyFill="1" applyBorder="1" applyAlignment="1">
      <alignment horizontal="center" vertical="center"/>
    </xf>
    <xf numFmtId="0" fontId="2" fillId="4" borderId="7" xfId="0" applyFont="1" applyFill="1" applyBorder="1" applyAlignment="1">
      <alignment horizontal="center" vertical="top" wrapText="1"/>
    </xf>
    <xf numFmtId="0" fontId="13" fillId="2" borderId="20" xfId="0" applyFont="1" applyFill="1" applyBorder="1" applyAlignment="1">
      <alignment horizontal="left" vertical="top" wrapText="1"/>
    </xf>
    <xf numFmtId="0" fontId="13" fillId="2" borderId="0" xfId="0" applyFont="1" applyFill="1" applyAlignment="1">
      <alignment horizontal="left" vertical="top" wrapText="1"/>
    </xf>
    <xf numFmtId="0" fontId="20" fillId="7" borderId="18" xfId="1" applyFont="1" applyFill="1" applyBorder="1" applyAlignment="1">
      <alignment horizontal="center" vertical="center"/>
    </xf>
    <xf numFmtId="0" fontId="20" fillId="7" borderId="19" xfId="1" applyFont="1" applyFill="1" applyBorder="1" applyAlignment="1">
      <alignment horizontal="center" vertical="center"/>
    </xf>
    <xf numFmtId="2" fontId="16" fillId="2" borderId="8" xfId="0" applyNumberFormat="1" applyFont="1" applyFill="1" applyBorder="1" applyAlignment="1">
      <alignment horizontal="center" vertical="center"/>
    </xf>
    <xf numFmtId="2" fontId="16" fillId="2" borderId="9" xfId="0" applyNumberFormat="1" applyFont="1" applyFill="1" applyBorder="1" applyAlignment="1">
      <alignment horizontal="center" vertical="center"/>
    </xf>
    <xf numFmtId="2" fontId="16" fillId="2" borderId="10" xfId="0" applyNumberFormat="1" applyFont="1" applyFill="1" applyBorder="1" applyAlignment="1">
      <alignment horizontal="center" vertical="center"/>
    </xf>
    <xf numFmtId="0" fontId="2" fillId="9" borderId="7" xfId="0" applyFont="1" applyFill="1" applyBorder="1" applyAlignment="1">
      <alignment horizontal="center" vertical="center"/>
    </xf>
    <xf numFmtId="0" fontId="2" fillId="6" borderId="7" xfId="0" applyFont="1" applyFill="1" applyBorder="1" applyAlignment="1">
      <alignment horizontal="center" vertical="center"/>
    </xf>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00FA71"/>
      <color rgb="FFFFCC00"/>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4" name="Picture 3" descr="http://www.crimsonlogic.com/images/logo.jpg">
          <a:extLst>
            <a:ext uri="{FF2B5EF4-FFF2-40B4-BE49-F238E27FC236}">
              <a16:creationId xmlns:a16="http://schemas.microsoft.com/office/drawing/2014/main" id="{CA5FE12C-5571-4142-9413-A8917546E5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5" name="Picture 1" descr="image001">
          <a:extLst>
            <a:ext uri="{FF2B5EF4-FFF2-40B4-BE49-F238E27FC236}">
              <a16:creationId xmlns:a16="http://schemas.microsoft.com/office/drawing/2014/main" id="{72A02AC1-7A42-478F-8E5D-9A562142D8E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BF8990B8-D8A9-4F72-B594-D8A6932A10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423A714-A224-4F3E-9EBC-462E6CC87A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422F0B0-E429-4F5B-A9BA-CFFD9E8187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172945</xdr:colOff>
      <xdr:row>0</xdr:row>
      <xdr:rowOff>112058</xdr:rowOff>
    </xdr:from>
    <xdr:ext cx="1827305" cy="461936"/>
    <xdr:pic>
      <xdr:nvPicPr>
        <xdr:cNvPr id="4" name="Picture 3" descr="http://www.crimsonlogic.com/images/logo.jpg">
          <a:extLst>
            <a:ext uri="{FF2B5EF4-FFF2-40B4-BE49-F238E27FC236}">
              <a16:creationId xmlns:a16="http://schemas.microsoft.com/office/drawing/2014/main" id="{4B133EE2-E33C-458A-96B9-E1D605D95A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D21064EC-A65D-485C-A73D-B0C9C5806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CF3740D-1361-4120-A01D-11DDF8DE5A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13</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754E45CD-5365-47DB-ADBA-4476C9F083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342900</xdr:colOff>
      <xdr:row>0</xdr:row>
      <xdr:rowOff>120650</xdr:rowOff>
    </xdr:from>
    <xdr:to>
      <xdr:col>3</xdr:col>
      <xdr:colOff>482600</xdr:colOff>
      <xdr:row>2</xdr:row>
      <xdr:rowOff>69850</xdr:rowOff>
    </xdr:to>
    <xdr:pic>
      <xdr:nvPicPr>
        <xdr:cNvPr id="3" name="Picture 1" descr="image001">
          <a:extLst>
            <a:ext uri="{FF2B5EF4-FFF2-40B4-BE49-F238E27FC236}">
              <a16:creationId xmlns:a16="http://schemas.microsoft.com/office/drawing/2014/main" id="{A796218F-D202-4904-992B-7FA86E03F6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26D0D-243C-4038-929F-F50322C81BF0}">
  <sheetPr>
    <pageSetUpPr fitToPage="1"/>
  </sheetPr>
  <dimension ref="A1:AS61"/>
  <sheetViews>
    <sheetView tabSelected="1" topLeftCell="A24" zoomScale="88" workbookViewId="0">
      <selection activeCell="B30" sqref="B30:P30"/>
    </sheetView>
  </sheetViews>
  <sheetFormatPr defaultColWidth="0" defaultRowHeight="14.5" zeroHeight="1" x14ac:dyDescent="0.35"/>
  <cols>
    <col min="1" max="4" width="8.7265625" customWidth="1"/>
    <col min="5" max="5" width="7.1796875" customWidth="1"/>
    <col min="6" max="6" width="8.7265625" customWidth="1"/>
    <col min="7" max="7" width="9.453125" customWidth="1"/>
    <col min="8" max="8" width="9.81640625" customWidth="1"/>
    <col min="9" max="15" width="8.7265625" customWidth="1"/>
    <col min="16" max="16" width="17.453125" customWidth="1"/>
    <col min="17" max="17" width="9.54296875" customWidth="1"/>
    <col min="18" max="19" width="8.7265625" customWidth="1"/>
    <col min="20" max="45" width="0" hidden="1" customWidth="1"/>
    <col min="46" max="16384" width="8.7265625" hidden="1"/>
  </cols>
  <sheetData>
    <row r="1" spans="2:18" s="1" customFormat="1" ht="30.65" customHeight="1" x14ac:dyDescent="0.35">
      <c r="F1" s="65" t="s">
        <v>0</v>
      </c>
      <c r="G1" s="65"/>
      <c r="H1" s="65"/>
      <c r="I1" s="65"/>
      <c r="J1" s="65"/>
      <c r="K1" s="65"/>
      <c r="L1" s="65"/>
      <c r="M1" s="65"/>
      <c r="N1" s="65"/>
      <c r="O1" s="65"/>
      <c r="R1" s="5">
        <v>2026</v>
      </c>
    </row>
    <row r="2" spans="2:18" s="1" customFormat="1" ht="26.5" customHeight="1" x14ac:dyDescent="0.35">
      <c r="F2" s="65"/>
      <c r="G2" s="65"/>
      <c r="H2" s="65"/>
      <c r="I2" s="65"/>
      <c r="J2" s="65"/>
      <c r="K2" s="65"/>
      <c r="L2" s="65"/>
      <c r="M2" s="65"/>
      <c r="N2" s="65"/>
      <c r="O2" s="65"/>
    </row>
    <row r="3" spans="2:18" s="1" customFormat="1" ht="14.5" customHeight="1" x14ac:dyDescent="0.35">
      <c r="E3" s="2"/>
      <c r="F3" s="2"/>
      <c r="H3" s="70" t="s">
        <v>13</v>
      </c>
      <c r="I3" s="70"/>
      <c r="J3" s="70"/>
      <c r="K3" s="70"/>
      <c r="L3" s="70"/>
      <c r="M3" s="70"/>
      <c r="N3" s="6"/>
      <c r="O3" s="6"/>
    </row>
    <row r="4" spans="2:18" s="1" customFormat="1" ht="15.65" customHeight="1" x14ac:dyDescent="0.35">
      <c r="D4" s="3"/>
      <c r="E4" s="2"/>
      <c r="F4" s="2"/>
      <c r="I4" s="6"/>
      <c r="J4" s="6"/>
      <c r="K4" s="6"/>
      <c r="L4" s="6"/>
      <c r="M4" s="6"/>
      <c r="N4" s="6"/>
      <c r="O4" s="6"/>
    </row>
    <row r="5" spans="2:18" s="1" customFormat="1" ht="14.5" customHeight="1" x14ac:dyDescent="0.35">
      <c r="E5" s="2"/>
      <c r="F5" s="2"/>
      <c r="G5" s="76" t="s">
        <v>111</v>
      </c>
      <c r="H5" s="76"/>
      <c r="I5" s="76"/>
      <c r="J5" s="76"/>
      <c r="K5" s="76"/>
      <c r="L5" s="76"/>
      <c r="M5" s="76"/>
      <c r="N5" s="76"/>
      <c r="O5" s="6"/>
      <c r="P5" s="6"/>
    </row>
    <row r="6" spans="2:18" s="1" customFormat="1" ht="14.5" customHeight="1" x14ac:dyDescent="0.35">
      <c r="E6" s="2"/>
      <c r="F6" s="2"/>
      <c r="H6" s="57"/>
      <c r="I6" s="57"/>
      <c r="J6" s="57"/>
      <c r="K6" s="57"/>
      <c r="L6" s="57"/>
      <c r="M6" s="57"/>
      <c r="N6" s="57"/>
      <c r="O6" s="6"/>
      <c r="P6" s="6"/>
    </row>
    <row r="7" spans="2:18" s="1" customFormat="1" ht="22" customHeight="1" thickBot="1" x14ac:dyDescent="0.4">
      <c r="G7" s="71" t="s">
        <v>3</v>
      </c>
      <c r="H7" s="72"/>
      <c r="I7" s="66" t="s">
        <v>123</v>
      </c>
      <c r="J7" s="67"/>
      <c r="K7" s="67"/>
      <c r="L7" s="67"/>
      <c r="M7" s="67"/>
      <c r="P7" s="4"/>
    </row>
    <row r="8" spans="2:18" s="1" customFormat="1" ht="23.15" customHeight="1" thickTop="1" thickBot="1" x14ac:dyDescent="0.4">
      <c r="G8" s="71" t="s">
        <v>9</v>
      </c>
      <c r="H8" s="72"/>
      <c r="I8" s="68" t="s">
        <v>120</v>
      </c>
      <c r="J8" s="69"/>
      <c r="K8" s="69"/>
      <c r="L8" s="69"/>
      <c r="M8" s="69"/>
      <c r="P8" s="4"/>
    </row>
    <row r="9" spans="2:18" s="1" customFormat="1" ht="22.5" customHeight="1" thickTop="1" thickBot="1" x14ac:dyDescent="0.4">
      <c r="G9" s="71" t="s">
        <v>5</v>
      </c>
      <c r="H9" s="72"/>
      <c r="I9" s="68" t="s">
        <v>124</v>
      </c>
      <c r="J9" s="69"/>
      <c r="K9" s="69"/>
      <c r="L9" s="69"/>
      <c r="M9" s="69"/>
    </row>
    <row r="10" spans="2:18" s="1" customFormat="1" ht="23.5" customHeight="1" thickTop="1" thickBot="1" x14ac:dyDescent="0.4">
      <c r="F10" s="9"/>
      <c r="H10" s="12"/>
      <c r="I10" s="10"/>
      <c r="J10" s="10"/>
      <c r="K10" s="10"/>
      <c r="L10" s="10"/>
      <c r="M10" s="10"/>
      <c r="N10" s="7"/>
    </row>
    <row r="11" spans="2:18" s="1" customFormat="1" ht="21" customHeight="1" thickTop="1" thickBot="1" x14ac:dyDescent="0.4">
      <c r="D11" s="32" t="s">
        <v>69</v>
      </c>
      <c r="F11" s="77" t="s">
        <v>66</v>
      </c>
      <c r="G11" s="77"/>
      <c r="H11" s="78" t="s">
        <v>59</v>
      </c>
      <c r="I11" s="78"/>
      <c r="J11" s="78" t="s">
        <v>65</v>
      </c>
      <c r="K11" s="78"/>
      <c r="L11" s="78" t="s">
        <v>68</v>
      </c>
      <c r="M11" s="78"/>
      <c r="N11" s="78" t="s">
        <v>67</v>
      </c>
      <c r="O11" s="78"/>
    </row>
    <row r="12" spans="2:18" s="1" customFormat="1" ht="20.149999999999999" customHeight="1" thickTop="1" x14ac:dyDescent="0.35"/>
    <row r="13" spans="2:18" s="1" customFormat="1" ht="18" customHeight="1" x14ac:dyDescent="0.35">
      <c r="B13" s="60" t="s">
        <v>40</v>
      </c>
      <c r="C13" s="60"/>
      <c r="D13" s="60"/>
      <c r="E13" s="60"/>
      <c r="F13" s="60"/>
      <c r="G13" s="60"/>
      <c r="H13" s="60"/>
      <c r="I13" s="60"/>
      <c r="J13" s="60"/>
      <c r="K13" s="60"/>
      <c r="L13" s="60"/>
      <c r="M13" s="60"/>
      <c r="N13" s="60"/>
      <c r="O13" s="60"/>
      <c r="P13" s="60"/>
    </row>
    <row r="14" spans="2:18" s="1" customFormat="1" ht="66.650000000000006" customHeight="1" x14ac:dyDescent="0.35">
      <c r="B14" s="74" t="s">
        <v>4</v>
      </c>
      <c r="C14" s="75"/>
      <c r="D14" s="75"/>
      <c r="E14" s="75"/>
      <c r="F14" s="75"/>
      <c r="G14" s="75"/>
      <c r="H14" s="75"/>
      <c r="I14" s="75"/>
      <c r="J14" s="75"/>
      <c r="K14" s="75"/>
      <c r="L14" s="75"/>
      <c r="M14" s="75"/>
      <c r="N14" s="75"/>
      <c r="O14" s="75"/>
      <c r="P14" s="75"/>
    </row>
    <row r="15" spans="2:18" s="1" customFormat="1" ht="23.15" customHeight="1" thickBot="1" x14ac:dyDescent="0.4">
      <c r="G15" s="73" t="s">
        <v>6</v>
      </c>
      <c r="H15" s="73"/>
      <c r="I15" s="66" t="s">
        <v>125</v>
      </c>
      <c r="J15" s="67"/>
      <c r="K15" s="67"/>
      <c r="L15" s="67"/>
      <c r="M15" s="67"/>
    </row>
    <row r="16" spans="2:18" s="1" customFormat="1" ht="23.15" customHeight="1" thickTop="1" thickBot="1" x14ac:dyDescent="0.4">
      <c r="G16" s="73" t="s">
        <v>7</v>
      </c>
      <c r="H16" s="73"/>
      <c r="I16" s="80">
        <v>46084</v>
      </c>
      <c r="J16" s="67"/>
      <c r="K16" s="67"/>
      <c r="L16" s="67"/>
      <c r="M16" s="67"/>
    </row>
    <row r="17" spans="1:45" ht="23.15" customHeight="1" thickTop="1" thickBot="1" x14ac:dyDescent="0.4">
      <c r="A17" s="1"/>
      <c r="B17" s="1"/>
      <c r="C17" s="1"/>
      <c r="D17" s="1"/>
      <c r="E17" s="1"/>
      <c r="F17" s="1"/>
      <c r="G17" s="73" t="s">
        <v>1</v>
      </c>
      <c r="H17" s="79"/>
      <c r="I17" s="66" t="s">
        <v>118</v>
      </c>
      <c r="J17" s="67"/>
      <c r="K17" s="67"/>
      <c r="L17" s="67"/>
      <c r="M17" s="67"/>
      <c r="N17" s="1"/>
      <c r="O17" s="1"/>
      <c r="P17" s="1"/>
      <c r="Q17" s="1"/>
      <c r="R17" s="1"/>
      <c r="S17" s="1"/>
      <c r="T17" s="1"/>
      <c r="U17" s="1"/>
      <c r="V17" s="1"/>
      <c r="W17" s="1"/>
      <c r="X17" s="1"/>
      <c r="Y17" s="1"/>
      <c r="Z17" s="1"/>
      <c r="AA17" s="1" t="s">
        <v>10</v>
      </c>
      <c r="AB17" s="1"/>
      <c r="AC17" s="1"/>
      <c r="AD17" s="1"/>
      <c r="AE17" s="1"/>
      <c r="AF17" s="1"/>
      <c r="AG17" s="1"/>
      <c r="AH17" s="1"/>
      <c r="AI17" s="1"/>
      <c r="AJ17" s="1"/>
      <c r="AK17" s="1"/>
      <c r="AL17" s="1"/>
      <c r="AM17" s="1"/>
      <c r="AN17" s="1"/>
      <c r="AO17" s="1"/>
      <c r="AP17" s="1"/>
      <c r="AQ17" s="1"/>
      <c r="AR17" s="1"/>
      <c r="AS17" s="1"/>
    </row>
    <row r="18" spans="1:45" ht="23.15" customHeight="1" thickTop="1" thickBot="1" x14ac:dyDescent="0.4">
      <c r="A18" s="1"/>
      <c r="B18" s="1"/>
      <c r="C18" s="1"/>
      <c r="D18" s="1"/>
      <c r="E18" s="1"/>
      <c r="F18" s="1"/>
      <c r="G18" s="73" t="s">
        <v>2</v>
      </c>
      <c r="H18" s="79"/>
      <c r="I18" s="66" t="s">
        <v>117</v>
      </c>
      <c r="J18" s="67"/>
      <c r="K18" s="67"/>
      <c r="L18" s="67"/>
      <c r="M18" s="67"/>
      <c r="N18" s="1"/>
      <c r="O18" s="1"/>
      <c r="P18" s="1"/>
      <c r="Q18" s="1"/>
      <c r="R18" s="1"/>
      <c r="S18" s="29" t="s">
        <v>10</v>
      </c>
      <c r="T18" s="1"/>
      <c r="U18" s="1"/>
      <c r="V18" s="1"/>
      <c r="W18" s="1"/>
      <c r="X18" s="1"/>
      <c r="Y18" s="1"/>
      <c r="Z18" s="1"/>
      <c r="AA18" s="1" t="s">
        <v>11</v>
      </c>
      <c r="AB18" s="1"/>
      <c r="AC18" s="1"/>
      <c r="AD18" s="1"/>
      <c r="AE18" s="1"/>
      <c r="AF18" s="1"/>
      <c r="AG18" s="1"/>
      <c r="AH18" s="1"/>
      <c r="AI18" s="1"/>
      <c r="AJ18" s="1"/>
      <c r="AK18" s="1"/>
      <c r="AL18" s="1"/>
      <c r="AM18" s="1"/>
      <c r="AN18" s="1"/>
      <c r="AO18" s="1"/>
      <c r="AP18" s="1"/>
      <c r="AQ18" s="1"/>
      <c r="AR18" s="1"/>
      <c r="AS18" s="1"/>
    </row>
    <row r="19" spans="1:45" ht="23.15" customHeight="1" thickTop="1" thickBot="1" x14ac:dyDescent="0.4">
      <c r="A19" s="1"/>
      <c r="B19" s="1"/>
      <c r="C19" s="1"/>
      <c r="D19" s="1"/>
      <c r="E19" s="1"/>
      <c r="F19" s="1"/>
      <c r="G19" s="73" t="s">
        <v>8</v>
      </c>
      <c r="H19" s="79"/>
      <c r="I19" s="66" t="s">
        <v>10</v>
      </c>
      <c r="J19" s="67"/>
      <c r="K19" s="67"/>
      <c r="L19" s="67"/>
      <c r="M19" s="67"/>
      <c r="N19" s="1"/>
      <c r="O19" s="1"/>
      <c r="P19" s="1"/>
      <c r="Q19" s="1"/>
      <c r="R19" s="1"/>
      <c r="S19" s="29" t="s">
        <v>11</v>
      </c>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s="1" customFormat="1" ht="22" customHeight="1" thickTop="1" x14ac:dyDescent="0.35">
      <c r="S20" s="29"/>
    </row>
    <row r="21" spans="1:45" s="1" customFormat="1" x14ac:dyDescent="0.35">
      <c r="B21" s="60" t="s">
        <v>12</v>
      </c>
      <c r="C21" s="60"/>
      <c r="D21" s="60"/>
      <c r="E21" s="60"/>
      <c r="F21" s="60"/>
      <c r="G21" s="60"/>
      <c r="H21" s="60"/>
      <c r="I21" s="60"/>
      <c r="J21" s="60"/>
      <c r="K21" s="60"/>
      <c r="L21" s="60"/>
      <c r="M21" s="60"/>
      <c r="N21" s="60"/>
      <c r="O21" s="60"/>
      <c r="P21" s="60"/>
    </row>
    <row r="22" spans="1:45" s="1" customFormat="1" ht="2.5" customHeight="1" x14ac:dyDescent="0.35">
      <c r="B22" s="8"/>
      <c r="C22" s="8"/>
      <c r="D22" s="8"/>
      <c r="E22" s="8"/>
      <c r="F22" s="8"/>
      <c r="G22" s="8"/>
      <c r="H22" s="8"/>
      <c r="I22" s="8"/>
      <c r="J22" s="8"/>
      <c r="K22" s="8"/>
      <c r="L22" s="8"/>
      <c r="M22" s="8"/>
      <c r="N22" s="8"/>
      <c r="O22" s="8"/>
      <c r="P22" s="8"/>
    </row>
    <row r="23" spans="1:45" s="1" customFormat="1" x14ac:dyDescent="0.35">
      <c r="B23" s="81"/>
      <c r="C23" s="81"/>
      <c r="D23" s="81"/>
      <c r="E23" s="81"/>
      <c r="F23" s="81"/>
      <c r="G23" s="81"/>
      <c r="H23" s="81"/>
      <c r="I23" s="81"/>
      <c r="J23" s="81"/>
      <c r="K23" s="81"/>
      <c r="L23" s="81"/>
      <c r="M23" s="81"/>
      <c r="N23" s="81"/>
      <c r="O23" s="81"/>
      <c r="P23" s="20" t="s">
        <v>14</v>
      </c>
    </row>
    <row r="24" spans="1:45" s="1" customFormat="1" ht="35.5" customHeight="1" x14ac:dyDescent="0.35">
      <c r="B24" s="64" t="s">
        <v>72</v>
      </c>
      <c r="C24" s="64"/>
      <c r="D24" s="64"/>
      <c r="E24" s="64"/>
      <c r="F24" s="64"/>
      <c r="G24" s="64"/>
      <c r="H24" s="64"/>
      <c r="I24" s="64"/>
      <c r="J24" s="64"/>
      <c r="K24" s="64"/>
      <c r="L24" s="64"/>
      <c r="M24" s="64"/>
      <c r="N24" s="64"/>
      <c r="O24" s="64"/>
      <c r="P24" s="21" t="s">
        <v>119</v>
      </c>
    </row>
    <row r="25" spans="1:45" s="1" customFormat="1" ht="38.5" customHeight="1" x14ac:dyDescent="0.35">
      <c r="B25" s="64" t="s">
        <v>79</v>
      </c>
      <c r="C25" s="64"/>
      <c r="D25" s="64"/>
      <c r="E25" s="64"/>
      <c r="F25" s="64"/>
      <c r="G25" s="64"/>
      <c r="H25" s="64"/>
      <c r="I25" s="64"/>
      <c r="J25" s="64"/>
      <c r="K25" s="64"/>
      <c r="L25" s="64"/>
      <c r="M25" s="64"/>
      <c r="N25" s="64"/>
      <c r="O25" s="64"/>
      <c r="P25" s="22">
        <v>2</v>
      </c>
    </row>
    <row r="26" spans="1:45" s="1" customFormat="1" ht="38.5" customHeight="1" x14ac:dyDescent="0.35">
      <c r="B26" s="64" t="s">
        <v>86</v>
      </c>
      <c r="C26" s="64"/>
      <c r="D26" s="64"/>
      <c r="E26" s="64"/>
      <c r="F26" s="64"/>
      <c r="G26" s="64"/>
      <c r="H26" s="64"/>
      <c r="I26" s="64"/>
      <c r="J26" s="64"/>
      <c r="K26" s="64"/>
      <c r="L26" s="64"/>
      <c r="M26" s="64"/>
      <c r="N26" s="64"/>
      <c r="O26" s="64"/>
      <c r="P26" s="22">
        <v>5</v>
      </c>
    </row>
    <row r="27" spans="1:45" s="1" customFormat="1" ht="15.65" customHeight="1" x14ac:dyDescent="0.35"/>
    <row r="28" spans="1:45" s="1" customFormat="1" x14ac:dyDescent="0.35"/>
    <row r="29" spans="1:45" s="1" customFormat="1" ht="20.149999999999999" customHeight="1" x14ac:dyDescent="0.35">
      <c r="B29" s="60" t="s">
        <v>97</v>
      </c>
      <c r="C29" s="60"/>
      <c r="D29" s="60"/>
      <c r="E29" s="60"/>
      <c r="F29" s="60"/>
      <c r="G29" s="60"/>
      <c r="H29" s="60"/>
      <c r="I29" s="60"/>
      <c r="J29" s="60"/>
      <c r="K29" s="60"/>
      <c r="L29" s="60"/>
      <c r="M29" s="60"/>
      <c r="N29" s="60"/>
      <c r="O29" s="60"/>
      <c r="P29" s="60"/>
    </row>
    <row r="30" spans="1:45" s="1" customFormat="1" ht="45.65" customHeight="1" x14ac:dyDescent="0.35">
      <c r="B30" s="61" t="s">
        <v>126</v>
      </c>
      <c r="C30" s="62"/>
      <c r="D30" s="62"/>
      <c r="E30" s="62"/>
      <c r="F30" s="62"/>
      <c r="G30" s="62"/>
      <c r="H30" s="62"/>
      <c r="I30" s="62"/>
      <c r="J30" s="62"/>
      <c r="K30" s="62"/>
      <c r="L30" s="62"/>
      <c r="M30" s="62"/>
      <c r="N30" s="62"/>
      <c r="O30" s="62"/>
      <c r="P30" s="63"/>
    </row>
    <row r="31" spans="1:45" s="1" customFormat="1" ht="45.65" customHeight="1" x14ac:dyDescent="0.35">
      <c r="B31" s="61" t="s">
        <v>121</v>
      </c>
      <c r="C31" s="62"/>
      <c r="D31" s="62"/>
      <c r="E31" s="62"/>
      <c r="F31" s="62"/>
      <c r="G31" s="62"/>
      <c r="H31" s="62"/>
      <c r="I31" s="62"/>
      <c r="J31" s="62"/>
      <c r="K31" s="62"/>
      <c r="L31" s="62"/>
      <c r="M31" s="62"/>
      <c r="N31" s="62"/>
      <c r="O31" s="62"/>
      <c r="P31" s="63"/>
    </row>
    <row r="32" spans="1:45" s="1" customFormat="1" ht="45.65" customHeight="1" x14ac:dyDescent="0.35">
      <c r="B32" s="61" t="s">
        <v>122</v>
      </c>
      <c r="C32" s="62"/>
      <c r="D32" s="62"/>
      <c r="E32" s="62"/>
      <c r="F32" s="62"/>
      <c r="G32" s="62"/>
      <c r="H32" s="62"/>
      <c r="I32" s="62"/>
      <c r="J32" s="62"/>
      <c r="K32" s="62"/>
      <c r="L32" s="62"/>
      <c r="M32" s="62"/>
      <c r="N32" s="62"/>
      <c r="O32" s="62"/>
      <c r="P32" s="63"/>
    </row>
    <row r="33" spans="16:17" s="1" customFormat="1" x14ac:dyDescent="0.35"/>
    <row r="34" spans="16:17" s="1" customFormat="1" ht="18.649999999999999" customHeight="1" x14ac:dyDescent="0.35">
      <c r="P34" s="30" t="s">
        <v>60</v>
      </c>
      <c r="Q34" s="31"/>
    </row>
    <row r="35" spans="16:17" s="1" customFormat="1" x14ac:dyDescent="0.35"/>
    <row r="36" spans="16:17" s="1" customFormat="1" hidden="1" x14ac:dyDescent="0.35"/>
    <row r="37" spans="16:17" s="1" customFormat="1" hidden="1" x14ac:dyDescent="0.35"/>
    <row r="38" spans="16:17" s="1" customFormat="1" hidden="1" x14ac:dyDescent="0.35"/>
    <row r="39" spans="16:17" s="1" customFormat="1" hidden="1" x14ac:dyDescent="0.35"/>
    <row r="40" spans="16:17" s="1" customFormat="1" hidden="1" x14ac:dyDescent="0.35"/>
    <row r="41" spans="16:17" s="1" customFormat="1" hidden="1" x14ac:dyDescent="0.35"/>
    <row r="42" spans="16:17" s="1" customFormat="1" hidden="1" x14ac:dyDescent="0.35"/>
    <row r="43" spans="16:17" s="1" customFormat="1" hidden="1" x14ac:dyDescent="0.35"/>
    <row r="44" spans="16:17" s="1" customFormat="1" hidden="1" x14ac:dyDescent="0.35"/>
    <row r="45" spans="16:17" s="1" customFormat="1" hidden="1" x14ac:dyDescent="0.35"/>
    <row r="46" spans="16:17" s="1" customFormat="1" hidden="1" x14ac:dyDescent="0.35"/>
    <row r="47" spans="16:17" s="1" customFormat="1" hidden="1" x14ac:dyDescent="0.35"/>
    <row r="48" spans="16:17" s="1" customFormat="1" hidden="1" x14ac:dyDescent="0.35"/>
    <row r="49" spans="2:13" s="1" customFormat="1" hidden="1" x14ac:dyDescent="0.35"/>
    <row r="50" spans="2:13" s="1" customFormat="1" hidden="1" x14ac:dyDescent="0.35"/>
    <row r="52" spans="2:13" s="1" customFormat="1" x14ac:dyDescent="0.35">
      <c r="B52" s="39">
        <v>1</v>
      </c>
      <c r="C52" s="53" t="s">
        <v>73</v>
      </c>
      <c r="J52" s="38">
        <v>2</v>
      </c>
      <c r="K52" s="53" t="s">
        <v>80</v>
      </c>
    </row>
    <row r="53" spans="2:13" s="1" customFormat="1" x14ac:dyDescent="0.35"/>
    <row r="54" spans="2:13" s="1" customFormat="1" x14ac:dyDescent="0.35">
      <c r="C54" s="55" t="s">
        <v>74</v>
      </c>
      <c r="K54" s="54">
        <v>5</v>
      </c>
      <c r="L54" s="55" t="s">
        <v>85</v>
      </c>
      <c r="M54" s="25"/>
    </row>
    <row r="55" spans="2:13" s="1" customFormat="1" x14ac:dyDescent="0.35">
      <c r="C55" s="55" t="s">
        <v>75</v>
      </c>
      <c r="K55" s="54">
        <v>4</v>
      </c>
      <c r="L55" s="55" t="s">
        <v>84</v>
      </c>
      <c r="M55" s="25"/>
    </row>
    <row r="56" spans="2:13" s="1" customFormat="1" x14ac:dyDescent="0.35">
      <c r="C56" s="55" t="s">
        <v>76</v>
      </c>
      <c r="K56" s="54">
        <v>3</v>
      </c>
      <c r="L56" s="55" t="s">
        <v>82</v>
      </c>
      <c r="M56" s="25"/>
    </row>
    <row r="57" spans="2:13" s="1" customFormat="1" x14ac:dyDescent="0.35">
      <c r="C57" s="55" t="s">
        <v>77</v>
      </c>
      <c r="K57" s="54">
        <v>2</v>
      </c>
      <c r="L57" s="55" t="s">
        <v>83</v>
      </c>
      <c r="M57" s="25"/>
    </row>
    <row r="58" spans="2:13" s="1" customFormat="1" x14ac:dyDescent="0.35">
      <c r="C58" s="55" t="s">
        <v>78</v>
      </c>
      <c r="K58" s="54">
        <v>1</v>
      </c>
      <c r="L58" s="55" t="s">
        <v>81</v>
      </c>
      <c r="M58" s="25"/>
    </row>
    <row r="59" spans="2:13" s="1" customFormat="1" x14ac:dyDescent="0.35"/>
    <row r="60" spans="2:13" s="1" customFormat="1" x14ac:dyDescent="0.35"/>
    <row r="61" spans="2:13" x14ac:dyDescent="0.35"/>
  </sheetData>
  <mergeCells count="35">
    <mergeCell ref="B25:O25"/>
    <mergeCell ref="F11:G11"/>
    <mergeCell ref="H11:I11"/>
    <mergeCell ref="J11:K11"/>
    <mergeCell ref="L11:M11"/>
    <mergeCell ref="N11:O11"/>
    <mergeCell ref="G17:H17"/>
    <mergeCell ref="G18:H18"/>
    <mergeCell ref="G19:H19"/>
    <mergeCell ref="I15:M15"/>
    <mergeCell ref="I16:M16"/>
    <mergeCell ref="I17:M17"/>
    <mergeCell ref="I18:M18"/>
    <mergeCell ref="B23:O23"/>
    <mergeCell ref="F1:O2"/>
    <mergeCell ref="B21:P21"/>
    <mergeCell ref="B24:O24"/>
    <mergeCell ref="I19:M19"/>
    <mergeCell ref="I7:M7"/>
    <mergeCell ref="I8:M8"/>
    <mergeCell ref="I9:M9"/>
    <mergeCell ref="H3:M3"/>
    <mergeCell ref="G7:H7"/>
    <mergeCell ref="G8:H8"/>
    <mergeCell ref="G9:H9"/>
    <mergeCell ref="G15:H15"/>
    <mergeCell ref="G16:H16"/>
    <mergeCell ref="B13:P13"/>
    <mergeCell ref="B14:P14"/>
    <mergeCell ref="G5:N5"/>
    <mergeCell ref="B29:P29"/>
    <mergeCell ref="B30:P30"/>
    <mergeCell ref="B32:P32"/>
    <mergeCell ref="B31:P31"/>
    <mergeCell ref="B26:O26"/>
  </mergeCells>
  <dataValidations count="1">
    <dataValidation type="list" allowBlank="1" showInputMessage="1" showErrorMessage="1" sqref="I19:M19" xr:uid="{5C4B3EC7-BB10-4A2B-B291-A1DEEC504EB3}">
      <formula1>$S$18:$S$19</formula1>
    </dataValidation>
  </dataValidations>
  <hyperlinks>
    <hyperlink ref="P34" location="'Reaction(B)'!A1" display="►REACTION" xr:uid="{D62A6712-2EC2-48DB-8C2F-3389CF67923F}"/>
    <hyperlink ref="H11" location="'Retention(D)'!A1" display="►RETENTION" xr:uid="{F1D39F8D-6273-4BB4-BB21-BC23181959E5}"/>
    <hyperlink ref="H11:I11" location="'Reaction(B)'!A1" display="REACTION" xr:uid="{CC60BB84-55E3-44C0-8D9A-FB8AC6E638B5}"/>
    <hyperlink ref="J11:K11" location="'Learning(C)'!A1" display="LEARNING" xr:uid="{0D67B4B4-16C3-48B8-ACE5-80B2A0A7EB64}"/>
    <hyperlink ref="L11:M11" location="'Retention(D)'!A1" display="RETENTION" xr:uid="{243D0903-02DD-492C-8AA3-0FAD02AA39ED}"/>
    <hyperlink ref="N11:O11" location="'Implementation(E)'!A1" display="IMPLEMENTATION" xr:uid="{7B4B1572-17B8-43D6-A250-EA5D541E9599}"/>
  </hyperlinks>
  <pageMargins left="0.7" right="0.7" top="0.75" bottom="0.75" header="0.3" footer="0.3"/>
  <pageSetup scale="66" fitToWidth="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2D8BA-8F1C-4C27-A064-4C016D7869FD}">
  <sheetPr>
    <pageSetUpPr fitToPage="1"/>
  </sheetPr>
  <dimension ref="B1:T57"/>
  <sheetViews>
    <sheetView topLeftCell="A16" workbookViewId="0">
      <selection activeCell="Q47" sqref="Q47:R47"/>
    </sheetView>
  </sheetViews>
  <sheetFormatPr defaultColWidth="8.7265625" defaultRowHeight="14.5" zeroHeight="1" x14ac:dyDescent="0.35"/>
  <cols>
    <col min="1" max="4" width="8.7265625" style="1"/>
    <col min="5" max="5" width="7.1796875" style="1" customWidth="1"/>
    <col min="6" max="6" width="8.7265625" style="1"/>
    <col min="7" max="7" width="9.453125" style="1" customWidth="1"/>
    <col min="8" max="8" width="9.81640625" style="1" customWidth="1"/>
    <col min="9" max="17" width="8.7265625" style="1"/>
    <col min="18" max="18" width="10.1796875" style="1" bestFit="1" customWidth="1"/>
    <col min="19" max="16384" width="8.7265625" style="1"/>
  </cols>
  <sheetData>
    <row r="1" spans="2:19" ht="30.65" customHeight="1" x14ac:dyDescent="0.35">
      <c r="F1" s="65" t="s">
        <v>0</v>
      </c>
      <c r="G1" s="65"/>
      <c r="H1" s="65"/>
      <c r="I1" s="65"/>
      <c r="J1" s="65"/>
      <c r="K1" s="65"/>
      <c r="L1" s="65"/>
      <c r="M1" s="65"/>
      <c r="N1" s="65"/>
      <c r="O1" s="65"/>
      <c r="S1" s="5">
        <v>2024</v>
      </c>
    </row>
    <row r="2" spans="2:19" ht="26.5" customHeight="1" x14ac:dyDescent="0.35">
      <c r="F2" s="65"/>
      <c r="G2" s="65"/>
      <c r="H2" s="65"/>
      <c r="I2" s="65"/>
      <c r="J2" s="65"/>
      <c r="K2" s="65"/>
      <c r="L2" s="65"/>
      <c r="M2" s="65"/>
      <c r="N2" s="65"/>
      <c r="O2" s="65"/>
    </row>
    <row r="3" spans="2:19" ht="14.5" customHeight="1" x14ac:dyDescent="0.35">
      <c r="E3" s="2"/>
      <c r="F3" s="2"/>
      <c r="H3" s="70" t="s">
        <v>42</v>
      </c>
      <c r="I3" s="70"/>
      <c r="J3" s="70"/>
      <c r="K3" s="70"/>
      <c r="L3" s="70"/>
      <c r="M3" s="70"/>
      <c r="N3" s="6"/>
      <c r="O3" s="6"/>
      <c r="P3" s="6"/>
    </row>
    <row r="4" spans="2:19" ht="14.5" customHeight="1" x14ac:dyDescent="0.35">
      <c r="E4" s="2"/>
      <c r="F4" s="2"/>
      <c r="H4" s="56"/>
      <c r="I4" s="56"/>
      <c r="J4" s="56"/>
      <c r="K4" s="56"/>
      <c r="L4" s="56"/>
      <c r="M4" s="56"/>
      <c r="N4" s="6"/>
      <c r="O4" s="6"/>
      <c r="P4" s="6"/>
    </row>
    <row r="5" spans="2:19" ht="14.5" customHeight="1" x14ac:dyDescent="0.35">
      <c r="E5" s="2"/>
      <c r="F5" s="2"/>
      <c r="H5" s="76" t="s">
        <v>110</v>
      </c>
      <c r="I5" s="76"/>
      <c r="J5" s="76"/>
      <c r="K5" s="76"/>
      <c r="L5" s="76"/>
      <c r="M5" s="76"/>
      <c r="N5" s="76"/>
      <c r="O5" s="6"/>
      <c r="P5" s="6"/>
    </row>
    <row r="6" spans="2:19" ht="13.5" customHeight="1" x14ac:dyDescent="0.35">
      <c r="D6" s="3"/>
      <c r="E6" s="2"/>
      <c r="F6" s="2"/>
      <c r="I6" s="6"/>
      <c r="J6" s="6"/>
      <c r="K6" s="6"/>
      <c r="L6" s="6"/>
      <c r="M6" s="6"/>
      <c r="N6" s="6"/>
      <c r="O6" s="6"/>
      <c r="P6" s="6"/>
    </row>
    <row r="7" spans="2:19" ht="22" customHeight="1" thickBot="1" x14ac:dyDescent="0.4">
      <c r="G7" s="71" t="s">
        <v>3</v>
      </c>
      <c r="H7" s="72"/>
      <c r="I7" s="87" t="str">
        <f>'Self-Assessment Form(A)'!I7:M7</f>
        <v>Praveen Ganapathi</v>
      </c>
      <c r="J7" s="88"/>
      <c r="K7" s="88"/>
      <c r="L7" s="88"/>
      <c r="M7" s="88"/>
      <c r="Q7" s="4"/>
    </row>
    <row r="8" spans="2:19" ht="23.15" customHeight="1" thickTop="1" thickBot="1" x14ac:dyDescent="0.4">
      <c r="G8" s="71" t="s">
        <v>9</v>
      </c>
      <c r="H8" s="72"/>
      <c r="I8" s="68" t="str">
        <f>'Self-Assessment Form(A)'!I8:M8</f>
        <v>PSA - GTOS</v>
      </c>
      <c r="J8" s="69"/>
      <c r="K8" s="69"/>
      <c r="L8" s="69"/>
      <c r="M8" s="69"/>
      <c r="Q8" s="4"/>
    </row>
    <row r="9" spans="2:19" ht="22.5" customHeight="1" thickTop="1" thickBot="1" x14ac:dyDescent="0.4">
      <c r="G9" s="71" t="s">
        <v>5</v>
      </c>
      <c r="H9" s="72"/>
      <c r="I9" s="68" t="str">
        <f>'Self-Assessment Form(A)'!I9:M9</f>
        <v>Lead Software Engineer</v>
      </c>
      <c r="J9" s="69"/>
      <c r="K9" s="69"/>
      <c r="L9" s="69"/>
      <c r="M9" s="69"/>
    </row>
    <row r="10" spans="2:19" ht="19.5" customHeight="1" thickTop="1" x14ac:dyDescent="0.35">
      <c r="Q10" s="11"/>
    </row>
    <row r="11" spans="2:19" ht="23.15" customHeight="1" thickBot="1" x14ac:dyDescent="0.4">
      <c r="G11" s="73" t="s">
        <v>6</v>
      </c>
      <c r="H11" s="73"/>
      <c r="I11" s="66" t="str">
        <f>'Self-Assessment Form(A)'!I15:M15</f>
        <v>Angular with PrimeNG</v>
      </c>
      <c r="J11" s="67"/>
      <c r="K11" s="67"/>
      <c r="L11" s="67"/>
      <c r="M11" s="67"/>
    </row>
    <row r="12" spans="2:19" ht="23.15" customHeight="1" thickTop="1" thickBot="1" x14ac:dyDescent="0.4">
      <c r="G12" s="73" t="s">
        <v>7</v>
      </c>
      <c r="H12" s="73"/>
      <c r="I12" s="80">
        <f>'Self-Assessment Form(A)'!I16:M16</f>
        <v>46084</v>
      </c>
      <c r="J12" s="89"/>
      <c r="K12" s="89"/>
      <c r="L12" s="89"/>
      <c r="M12" s="89"/>
    </row>
    <row r="13" spans="2:19" ht="23.15" customHeight="1" thickTop="1" thickBot="1" x14ac:dyDescent="0.4"/>
    <row r="14" spans="2:19" ht="21" customHeight="1" thickTop="1" thickBot="1" x14ac:dyDescent="0.4">
      <c r="D14" s="32" t="s">
        <v>69</v>
      </c>
      <c r="F14" s="78" t="s">
        <v>12</v>
      </c>
      <c r="G14" s="78"/>
      <c r="H14" s="77" t="s">
        <v>60</v>
      </c>
      <c r="I14" s="77"/>
      <c r="J14" s="78" t="s">
        <v>65</v>
      </c>
      <c r="K14" s="78"/>
      <c r="L14" s="78" t="s">
        <v>68</v>
      </c>
      <c r="M14" s="78"/>
      <c r="N14" s="78" t="s">
        <v>67</v>
      </c>
      <c r="O14" s="78"/>
      <c r="Q14" s="11"/>
    </row>
    <row r="15" spans="2:19" ht="22" customHeight="1" thickTop="1" x14ac:dyDescent="0.35"/>
    <row r="16" spans="2:19" x14ac:dyDescent="0.35">
      <c r="B16" s="14"/>
      <c r="C16" s="14"/>
      <c r="D16" s="14"/>
      <c r="E16" s="14"/>
      <c r="F16" s="14"/>
      <c r="G16" s="14"/>
      <c r="H16" s="14"/>
      <c r="I16" s="14"/>
      <c r="J16" s="14"/>
      <c r="K16" s="14"/>
      <c r="L16" s="14"/>
      <c r="M16" s="14"/>
      <c r="N16" s="91" t="s">
        <v>116</v>
      </c>
      <c r="O16" s="91"/>
      <c r="P16" s="91"/>
      <c r="Q16" s="91"/>
      <c r="R16" s="91"/>
    </row>
    <row r="17" spans="2:20" ht="3.65" customHeight="1" x14ac:dyDescent="0.35"/>
    <row r="18" spans="2:20" x14ac:dyDescent="0.35">
      <c r="B18" s="14" t="s">
        <v>17</v>
      </c>
      <c r="C18" s="14"/>
      <c r="D18" s="14"/>
      <c r="E18" s="14"/>
      <c r="F18" s="14"/>
      <c r="G18" s="14"/>
      <c r="H18" s="14"/>
      <c r="I18" s="14"/>
      <c r="J18" s="14"/>
      <c r="K18" s="14"/>
      <c r="L18" s="14"/>
      <c r="M18" s="14"/>
      <c r="N18" s="14"/>
      <c r="O18" s="13"/>
      <c r="P18" s="13"/>
      <c r="Q18" s="13"/>
      <c r="R18" s="13" t="s">
        <v>92</v>
      </c>
    </row>
    <row r="19" spans="2:20" ht="24" customHeight="1" x14ac:dyDescent="0.35">
      <c r="B19" s="15">
        <v>1</v>
      </c>
      <c r="C19" s="82" t="s">
        <v>19</v>
      </c>
      <c r="D19" s="83"/>
      <c r="E19" s="83"/>
      <c r="F19" s="83"/>
      <c r="G19" s="83"/>
      <c r="H19" s="83"/>
      <c r="I19" s="83"/>
      <c r="J19" s="83"/>
      <c r="K19" s="83"/>
      <c r="L19" s="83"/>
      <c r="M19" s="83"/>
      <c r="N19" s="83"/>
      <c r="O19" s="83"/>
      <c r="P19" s="83"/>
      <c r="Q19" s="84"/>
      <c r="R19" s="15">
        <v>4</v>
      </c>
    </row>
    <row r="20" spans="2:20" ht="24" customHeight="1" x14ac:dyDescent="0.35">
      <c r="B20" s="15">
        <v>2</v>
      </c>
      <c r="C20" s="82" t="s">
        <v>29</v>
      </c>
      <c r="D20" s="83"/>
      <c r="E20" s="83"/>
      <c r="F20" s="83"/>
      <c r="G20" s="83"/>
      <c r="H20" s="83"/>
      <c r="I20" s="83"/>
      <c r="J20" s="83"/>
      <c r="K20" s="83"/>
      <c r="L20" s="83"/>
      <c r="M20" s="83"/>
      <c r="N20" s="83"/>
      <c r="O20" s="83"/>
      <c r="P20" s="83"/>
      <c r="Q20" s="84"/>
      <c r="R20" s="15">
        <v>4</v>
      </c>
    </row>
    <row r="21" spans="2:20" ht="24" customHeight="1" x14ac:dyDescent="0.35">
      <c r="B21" s="15">
        <v>3</v>
      </c>
      <c r="C21" s="82" t="s">
        <v>30</v>
      </c>
      <c r="D21" s="83"/>
      <c r="E21" s="83"/>
      <c r="F21" s="83"/>
      <c r="G21" s="83"/>
      <c r="H21" s="83"/>
      <c r="I21" s="83"/>
      <c r="J21" s="83"/>
      <c r="K21" s="83"/>
      <c r="L21" s="83"/>
      <c r="M21" s="83"/>
      <c r="N21" s="83"/>
      <c r="O21" s="83"/>
      <c r="P21" s="83"/>
      <c r="Q21" s="84"/>
      <c r="R21" s="15">
        <v>4</v>
      </c>
    </row>
    <row r="22" spans="2:20" ht="24" customHeight="1" x14ac:dyDescent="0.35">
      <c r="B22" s="15">
        <v>4</v>
      </c>
      <c r="C22" s="82" t="s">
        <v>31</v>
      </c>
      <c r="D22" s="83"/>
      <c r="E22" s="83"/>
      <c r="F22" s="83"/>
      <c r="G22" s="83"/>
      <c r="H22" s="83"/>
      <c r="I22" s="83"/>
      <c r="J22" s="83"/>
      <c r="K22" s="83"/>
      <c r="L22" s="83"/>
      <c r="M22" s="83"/>
      <c r="N22" s="83"/>
      <c r="O22" s="83"/>
      <c r="P22" s="83"/>
      <c r="Q22" s="84"/>
      <c r="R22" s="15">
        <v>4</v>
      </c>
    </row>
    <row r="23" spans="2:20" ht="24" customHeight="1" x14ac:dyDescent="0.35">
      <c r="B23" s="15">
        <v>5</v>
      </c>
      <c r="C23" s="82" t="s">
        <v>32</v>
      </c>
      <c r="D23" s="83"/>
      <c r="E23" s="83"/>
      <c r="F23" s="83"/>
      <c r="G23" s="83"/>
      <c r="H23" s="83"/>
      <c r="I23" s="83"/>
      <c r="J23" s="83"/>
      <c r="K23" s="83"/>
      <c r="L23" s="83"/>
      <c r="M23" s="83"/>
      <c r="N23" s="83"/>
      <c r="O23" s="83"/>
      <c r="P23" s="83"/>
      <c r="Q23" s="84"/>
      <c r="R23" s="15">
        <v>4</v>
      </c>
    </row>
    <row r="24" spans="2:20" ht="24" customHeight="1" x14ac:dyDescent="0.35">
      <c r="B24" s="15">
        <v>6</v>
      </c>
      <c r="C24" s="82" t="s">
        <v>33</v>
      </c>
      <c r="D24" s="83"/>
      <c r="E24" s="83"/>
      <c r="F24" s="83"/>
      <c r="G24" s="83"/>
      <c r="H24" s="83"/>
      <c r="I24" s="83"/>
      <c r="J24" s="83"/>
      <c r="K24" s="83"/>
      <c r="L24" s="83"/>
      <c r="M24" s="83"/>
      <c r="N24" s="83"/>
      <c r="O24" s="83"/>
      <c r="P24" s="83"/>
      <c r="Q24" s="84"/>
      <c r="R24" s="15" t="s">
        <v>54</v>
      </c>
      <c r="S24" s="29"/>
      <c r="T24" s="29" t="s">
        <v>54</v>
      </c>
    </row>
    <row r="25" spans="2:20" ht="22.5" customHeight="1" x14ac:dyDescent="0.35">
      <c r="N25" s="85" t="s">
        <v>15</v>
      </c>
      <c r="O25" s="85"/>
      <c r="P25" s="85"/>
      <c r="Q25" s="86"/>
      <c r="R25" s="59">
        <v>4</v>
      </c>
      <c r="S25" s="29"/>
      <c r="T25" s="29" t="s">
        <v>115</v>
      </c>
    </row>
    <row r="26" spans="2:20" ht="25" customHeight="1" x14ac:dyDescent="0.35"/>
    <row r="27" spans="2:20" x14ac:dyDescent="0.35">
      <c r="B27" s="14"/>
      <c r="C27" s="14"/>
      <c r="D27" s="14"/>
      <c r="E27" s="14"/>
      <c r="F27" s="14"/>
      <c r="G27" s="14"/>
      <c r="H27" s="14"/>
      <c r="I27" s="14"/>
      <c r="J27" s="14"/>
      <c r="K27" s="14"/>
      <c r="L27" s="14"/>
      <c r="M27" s="14"/>
      <c r="N27" s="91" t="s">
        <v>18</v>
      </c>
      <c r="O27" s="91"/>
      <c r="P27" s="91"/>
      <c r="Q27" s="91"/>
      <c r="R27" s="91"/>
    </row>
    <row r="28" spans="2:20" ht="3.65" customHeight="1" x14ac:dyDescent="0.35"/>
    <row r="29" spans="2:20" x14ac:dyDescent="0.35">
      <c r="B29" s="14" t="s">
        <v>20</v>
      </c>
      <c r="C29" s="14"/>
      <c r="D29" s="14"/>
      <c r="E29" s="14"/>
      <c r="F29" s="14"/>
      <c r="G29" s="14"/>
      <c r="H29" s="14"/>
      <c r="I29" s="14"/>
      <c r="J29" s="14"/>
      <c r="K29" s="14"/>
      <c r="L29" s="14"/>
      <c r="M29" s="14"/>
      <c r="N29" s="14"/>
      <c r="O29" s="13"/>
      <c r="P29" s="13"/>
      <c r="Q29" s="13"/>
      <c r="R29" s="13" t="s">
        <v>92</v>
      </c>
    </row>
    <row r="30" spans="2:20" ht="24" customHeight="1" x14ac:dyDescent="0.35">
      <c r="B30" s="15">
        <v>1</v>
      </c>
      <c r="C30" s="82" t="s">
        <v>27</v>
      </c>
      <c r="D30" s="83"/>
      <c r="E30" s="83"/>
      <c r="F30" s="83"/>
      <c r="G30" s="83"/>
      <c r="H30" s="83"/>
      <c r="I30" s="83"/>
      <c r="J30" s="83"/>
      <c r="K30" s="83"/>
      <c r="L30" s="83"/>
      <c r="M30" s="83"/>
      <c r="N30" s="83"/>
      <c r="O30" s="83"/>
      <c r="P30" s="83"/>
      <c r="Q30" s="84"/>
      <c r="R30" s="15">
        <v>4</v>
      </c>
    </row>
    <row r="31" spans="2:20" ht="24" customHeight="1" x14ac:dyDescent="0.35">
      <c r="B31" s="15">
        <v>2</v>
      </c>
      <c r="C31" s="82" t="s">
        <v>23</v>
      </c>
      <c r="D31" s="83"/>
      <c r="E31" s="83"/>
      <c r="F31" s="83"/>
      <c r="G31" s="83"/>
      <c r="H31" s="83"/>
      <c r="I31" s="83"/>
      <c r="J31" s="83"/>
      <c r="K31" s="83"/>
      <c r="L31" s="83"/>
      <c r="M31" s="83"/>
      <c r="N31" s="83"/>
      <c r="O31" s="83">
        <v>0</v>
      </c>
      <c r="P31" s="83">
        <v>0</v>
      </c>
      <c r="Q31" s="84">
        <v>0</v>
      </c>
      <c r="R31" s="15">
        <v>4</v>
      </c>
    </row>
    <row r="32" spans="2:20" ht="24" customHeight="1" x14ac:dyDescent="0.35">
      <c r="B32" s="15">
        <v>3</v>
      </c>
      <c r="C32" s="82" t="s">
        <v>28</v>
      </c>
      <c r="D32" s="83"/>
      <c r="E32" s="83"/>
      <c r="F32" s="83"/>
      <c r="G32" s="83"/>
      <c r="H32" s="83"/>
      <c r="I32" s="83"/>
      <c r="J32" s="83"/>
      <c r="K32" s="83"/>
      <c r="L32" s="83"/>
      <c r="M32" s="83"/>
      <c r="N32" s="83"/>
      <c r="O32" s="83">
        <v>0</v>
      </c>
      <c r="P32" s="83">
        <v>0</v>
      </c>
      <c r="Q32" s="84">
        <v>0</v>
      </c>
      <c r="R32" s="15">
        <v>4</v>
      </c>
    </row>
    <row r="33" spans="2:18" ht="24" customHeight="1" x14ac:dyDescent="0.35">
      <c r="B33" s="15">
        <v>4</v>
      </c>
      <c r="C33" s="82" t="s">
        <v>24</v>
      </c>
      <c r="D33" s="83"/>
      <c r="E33" s="83"/>
      <c r="F33" s="83"/>
      <c r="G33" s="83"/>
      <c r="H33" s="83"/>
      <c r="I33" s="83"/>
      <c r="J33" s="83"/>
      <c r="K33" s="83"/>
      <c r="L33" s="83"/>
      <c r="M33" s="83"/>
      <c r="N33" s="83"/>
      <c r="O33" s="83">
        <v>0</v>
      </c>
      <c r="P33" s="83">
        <v>0</v>
      </c>
      <c r="Q33" s="84">
        <v>0</v>
      </c>
      <c r="R33" s="15">
        <v>4</v>
      </c>
    </row>
    <row r="34" spans="2:18" ht="24" customHeight="1" x14ac:dyDescent="0.35">
      <c r="B34" s="15">
        <v>5</v>
      </c>
      <c r="C34" s="82" t="s">
        <v>25</v>
      </c>
      <c r="D34" s="83"/>
      <c r="E34" s="83"/>
      <c r="F34" s="83"/>
      <c r="G34" s="83"/>
      <c r="H34" s="83"/>
      <c r="I34" s="83"/>
      <c r="J34" s="83"/>
      <c r="K34" s="83"/>
      <c r="L34" s="83"/>
      <c r="M34" s="83"/>
      <c r="N34" s="83"/>
      <c r="O34" s="83">
        <v>0</v>
      </c>
      <c r="P34" s="83">
        <v>0</v>
      </c>
      <c r="Q34" s="84">
        <v>0</v>
      </c>
      <c r="R34" s="15">
        <v>4</v>
      </c>
    </row>
    <row r="35" spans="2:18" ht="24" customHeight="1" x14ac:dyDescent="0.35">
      <c r="B35" s="15">
        <v>6</v>
      </c>
      <c r="C35" s="82" t="s">
        <v>26</v>
      </c>
      <c r="D35" s="83"/>
      <c r="E35" s="83"/>
      <c r="F35" s="83"/>
      <c r="G35" s="83"/>
      <c r="H35" s="83"/>
      <c r="I35" s="83"/>
      <c r="J35" s="83"/>
      <c r="K35" s="83"/>
      <c r="L35" s="83"/>
      <c r="M35" s="83"/>
      <c r="N35" s="83"/>
      <c r="O35" s="83">
        <v>0</v>
      </c>
      <c r="P35" s="83">
        <v>0</v>
      </c>
      <c r="Q35" s="84">
        <v>0</v>
      </c>
      <c r="R35" s="15" t="s">
        <v>54</v>
      </c>
    </row>
    <row r="36" spans="2:18" ht="22.5" customHeight="1" x14ac:dyDescent="0.35">
      <c r="N36" s="85" t="s">
        <v>15</v>
      </c>
      <c r="O36" s="85"/>
      <c r="P36" s="85"/>
      <c r="Q36" s="86"/>
      <c r="R36" s="59">
        <f>AVERAGE(R30:R34)</f>
        <v>4</v>
      </c>
    </row>
    <row r="37" spans="2:18" ht="23.5" customHeight="1" x14ac:dyDescent="0.35"/>
    <row r="38" spans="2:18" ht="16.5" customHeight="1" x14ac:dyDescent="0.35">
      <c r="B38" s="14"/>
      <c r="C38" s="14"/>
      <c r="D38" s="14"/>
      <c r="E38" s="14"/>
      <c r="F38" s="14"/>
      <c r="G38" s="14"/>
      <c r="H38" s="14"/>
      <c r="I38" s="14"/>
      <c r="J38" s="14"/>
      <c r="K38" s="14"/>
      <c r="L38" s="14"/>
      <c r="M38" s="14"/>
      <c r="N38" s="91" t="s">
        <v>18</v>
      </c>
      <c r="O38" s="91"/>
      <c r="P38" s="91"/>
      <c r="Q38" s="91"/>
      <c r="R38" s="91"/>
    </row>
    <row r="39" spans="2:18" ht="3.65" customHeight="1" x14ac:dyDescent="0.35"/>
    <row r="40" spans="2:18" x14ac:dyDescent="0.35">
      <c r="B40" s="14" t="s">
        <v>21</v>
      </c>
      <c r="C40" s="14"/>
      <c r="D40" s="14"/>
      <c r="E40" s="14"/>
      <c r="F40" s="14"/>
      <c r="G40" s="14"/>
      <c r="H40" s="14"/>
      <c r="I40" s="14"/>
      <c r="J40" s="14"/>
      <c r="K40" s="14"/>
      <c r="L40" s="14"/>
      <c r="M40" s="14"/>
      <c r="N40" s="14"/>
      <c r="O40" s="13"/>
      <c r="P40" s="13"/>
      <c r="Q40" s="13"/>
      <c r="R40" s="13" t="s">
        <v>92</v>
      </c>
    </row>
    <row r="41" spans="2:18" ht="24" customHeight="1" x14ac:dyDescent="0.35">
      <c r="B41" s="15">
        <v>1</v>
      </c>
      <c r="C41" s="82" t="s">
        <v>22</v>
      </c>
      <c r="D41" s="83"/>
      <c r="E41" s="83"/>
      <c r="F41" s="83"/>
      <c r="G41" s="83"/>
      <c r="H41" s="83"/>
      <c r="I41" s="83"/>
      <c r="J41" s="83"/>
      <c r="K41" s="83"/>
      <c r="L41" s="83"/>
      <c r="M41" s="83"/>
      <c r="N41" s="83"/>
      <c r="O41" s="83"/>
      <c r="P41" s="83"/>
      <c r="Q41" s="84"/>
      <c r="R41" s="15">
        <v>4</v>
      </c>
    </row>
    <row r="42" spans="2:18" x14ac:dyDescent="0.35"/>
    <row r="43" spans="2:18" x14ac:dyDescent="0.35">
      <c r="B43" s="14" t="s">
        <v>34</v>
      </c>
      <c r="C43" s="14"/>
      <c r="D43" s="14"/>
      <c r="E43" s="14"/>
      <c r="F43" s="14"/>
      <c r="G43" s="14"/>
      <c r="H43" s="14"/>
      <c r="I43" s="14"/>
      <c r="J43" s="14"/>
      <c r="K43" s="14"/>
      <c r="L43" s="14"/>
      <c r="M43" s="14"/>
      <c r="N43" s="14"/>
      <c r="O43" s="13"/>
      <c r="P43" s="13"/>
      <c r="Q43" s="13"/>
      <c r="R43" s="13"/>
    </row>
    <row r="44" spans="2:18" ht="156" customHeight="1" x14ac:dyDescent="0.35">
      <c r="B44" s="82"/>
      <c r="C44" s="83"/>
      <c r="D44" s="83"/>
      <c r="E44" s="83"/>
      <c r="F44" s="83"/>
      <c r="G44" s="83"/>
      <c r="H44" s="83"/>
      <c r="I44" s="83"/>
      <c r="J44" s="83"/>
      <c r="K44" s="83"/>
      <c r="L44" s="83"/>
      <c r="M44" s="83"/>
      <c r="N44" s="83"/>
      <c r="O44" s="83"/>
      <c r="P44" s="83"/>
      <c r="Q44" s="83"/>
      <c r="R44" s="84"/>
    </row>
    <row r="45" spans="2:18" x14ac:dyDescent="0.35"/>
    <row r="46" spans="2:18" x14ac:dyDescent="0.35"/>
    <row r="47" spans="2:18" ht="19" customHeight="1" x14ac:dyDescent="0.35">
      <c r="Q47" s="90" t="s">
        <v>61</v>
      </c>
      <c r="R47" s="90"/>
    </row>
    <row r="48" spans="2:18" x14ac:dyDescent="0.35"/>
    <row r="49" x14ac:dyDescent="0.35"/>
    <row r="50" x14ac:dyDescent="0.35"/>
    <row r="51" x14ac:dyDescent="0.35"/>
    <row r="52" x14ac:dyDescent="0.35"/>
    <row r="53" x14ac:dyDescent="0.35"/>
    <row r="54" x14ac:dyDescent="0.35"/>
    <row r="55" x14ac:dyDescent="0.35"/>
    <row r="56" x14ac:dyDescent="0.35"/>
    <row r="57" x14ac:dyDescent="0.35"/>
  </sheetData>
  <mergeCells count="38">
    <mergeCell ref="Q47:R47"/>
    <mergeCell ref="H14:I14"/>
    <mergeCell ref="J14:K14"/>
    <mergeCell ref="L14:M14"/>
    <mergeCell ref="N14:O14"/>
    <mergeCell ref="N27:R27"/>
    <mergeCell ref="N16:R16"/>
    <mergeCell ref="N38:R38"/>
    <mergeCell ref="B44:R44"/>
    <mergeCell ref="C33:Q33"/>
    <mergeCell ref="C34:Q34"/>
    <mergeCell ref="C35:Q35"/>
    <mergeCell ref="N36:Q36"/>
    <mergeCell ref="C41:Q41"/>
    <mergeCell ref="C19:Q19"/>
    <mergeCell ref="C20:Q20"/>
    <mergeCell ref="F14:G14"/>
    <mergeCell ref="F1:O2"/>
    <mergeCell ref="H3:M3"/>
    <mergeCell ref="G7:H7"/>
    <mergeCell ref="I7:M7"/>
    <mergeCell ref="G8:H8"/>
    <mergeCell ref="I8:M8"/>
    <mergeCell ref="G12:H12"/>
    <mergeCell ref="I12:M12"/>
    <mergeCell ref="G9:H9"/>
    <mergeCell ref="I9:M9"/>
    <mergeCell ref="G11:H11"/>
    <mergeCell ref="I11:M11"/>
    <mergeCell ref="H5:N5"/>
    <mergeCell ref="C30:Q30"/>
    <mergeCell ref="C31:Q31"/>
    <mergeCell ref="C32:Q32"/>
    <mergeCell ref="C21:Q21"/>
    <mergeCell ref="C22:Q22"/>
    <mergeCell ref="C23:Q23"/>
    <mergeCell ref="C24:Q24"/>
    <mergeCell ref="N25:Q25"/>
  </mergeCells>
  <dataValidations count="1">
    <dataValidation type="list" allowBlank="1" showInputMessage="1" showErrorMessage="1" sqref="R24 R35" xr:uid="{0A403530-003D-44B5-9CE3-CD6E485B6E62}">
      <formula1>$T$24:$T$25</formula1>
    </dataValidation>
  </dataValidations>
  <hyperlinks>
    <hyperlink ref="Q47" location="'Learning(C)'!A1" display="►LEARNING" xr:uid="{990E0D47-1D01-45F5-8F00-F8F2486910F1}"/>
    <hyperlink ref="H14" location="'Retention(D)'!A1" display="►RETENTION" xr:uid="{E25B1CBC-AAC5-43F8-9E4F-D8ACDABADC85}"/>
    <hyperlink ref="F14:G14" location="'Self-Assessment Form(A)'!A1" display="SELF ASSESSMENT" xr:uid="{378E73FE-1969-42E1-B40F-BBF920AA21C4}"/>
    <hyperlink ref="J14:K14" location="'Learning(C)'!A1" display="LEARNING" xr:uid="{4D352CF9-C13A-47D4-820F-7BA6A3927933}"/>
    <hyperlink ref="L14:M14" location="'Retention(D)'!A1" display="RETENTION" xr:uid="{1C9BFCB0-74A7-47F6-96C4-6C8BD06F5A4F}"/>
    <hyperlink ref="N14:O14" location="'Implementation(E)'!A1" display="IMPLEMENTATION" xr:uid="{8FAF78BF-0EE2-4900-8E69-A45AB088B6DB}"/>
  </hyperlinks>
  <pageMargins left="1.8897637795275593" right="0.70866141732283472" top="0.74803149606299213" bottom="0.74803149606299213" header="0.31496062992125984" footer="0.31496062992125984"/>
  <pageSetup scale="4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3C8DA-AF3C-4449-9176-292118469298}">
  <sheetPr>
    <pageSetUpPr fitToPage="1"/>
  </sheetPr>
  <dimension ref="B1:R63"/>
  <sheetViews>
    <sheetView topLeftCell="A16" zoomScaleNormal="100" workbookViewId="0">
      <selection activeCell="Q28" sqref="Q28"/>
    </sheetView>
  </sheetViews>
  <sheetFormatPr defaultRowHeight="14.5" zeroHeight="1" x14ac:dyDescent="0.35"/>
  <cols>
    <col min="5" max="5" width="7.1796875" customWidth="1"/>
    <col min="7" max="7" width="9.453125" customWidth="1"/>
    <col min="8" max="8" width="9.81640625" customWidth="1"/>
    <col min="15" max="15" width="16.453125" customWidth="1"/>
    <col min="16" max="16" width="16.1796875" customWidth="1"/>
    <col min="17" max="17" width="17.453125" bestFit="1" customWidth="1"/>
  </cols>
  <sheetData>
    <row r="1" spans="2:18" s="1" customFormat="1" ht="30.65" customHeight="1" x14ac:dyDescent="0.35">
      <c r="F1" s="65" t="s">
        <v>0</v>
      </c>
      <c r="G1" s="65"/>
      <c r="H1" s="65"/>
      <c r="I1" s="65"/>
      <c r="J1" s="65"/>
      <c r="K1" s="65"/>
      <c r="L1" s="65"/>
      <c r="M1" s="65"/>
      <c r="N1" s="65"/>
      <c r="O1" s="65"/>
      <c r="R1" s="5">
        <v>2024</v>
      </c>
    </row>
    <row r="2" spans="2:18" s="1" customFormat="1" ht="26.5" customHeight="1" x14ac:dyDescent="0.35">
      <c r="F2" s="65"/>
      <c r="G2" s="65"/>
      <c r="H2" s="65"/>
      <c r="I2" s="65"/>
      <c r="J2" s="65"/>
      <c r="K2" s="65"/>
      <c r="L2" s="65"/>
      <c r="M2" s="65"/>
      <c r="N2" s="65"/>
      <c r="O2" s="65"/>
    </row>
    <row r="3" spans="2:18" s="1" customFormat="1" ht="14.5" customHeight="1" x14ac:dyDescent="0.35">
      <c r="E3" s="2"/>
      <c r="F3" s="2"/>
      <c r="H3" s="70" t="s">
        <v>43</v>
      </c>
      <c r="I3" s="70"/>
      <c r="J3" s="70"/>
      <c r="K3" s="70"/>
      <c r="L3" s="70"/>
      <c r="M3" s="70"/>
      <c r="N3" s="6"/>
      <c r="O3" s="6"/>
    </row>
    <row r="4" spans="2:18" s="1" customFormat="1" ht="14.5" customHeight="1" x14ac:dyDescent="0.35">
      <c r="E4" s="2"/>
      <c r="F4" s="2"/>
      <c r="H4" s="56"/>
      <c r="I4" s="56"/>
      <c r="J4" s="56"/>
      <c r="K4" s="56"/>
      <c r="L4" s="56"/>
      <c r="M4" s="56"/>
      <c r="N4" s="6"/>
      <c r="O4" s="6"/>
    </row>
    <row r="5" spans="2:18" s="1" customFormat="1" ht="14.5" customHeight="1" x14ac:dyDescent="0.35">
      <c r="E5" s="2"/>
      <c r="F5" s="2"/>
      <c r="H5" s="76" t="s">
        <v>112</v>
      </c>
      <c r="I5" s="76"/>
      <c r="J5" s="76"/>
      <c r="K5" s="76"/>
      <c r="L5" s="76"/>
      <c r="M5" s="76"/>
      <c r="N5" s="76"/>
      <c r="O5" s="6"/>
      <c r="P5" s="6"/>
    </row>
    <row r="6" spans="2:18" s="1" customFormat="1" ht="15.65" customHeight="1" x14ac:dyDescent="0.35">
      <c r="D6" s="3"/>
      <c r="E6" s="2"/>
      <c r="F6" s="2"/>
      <c r="I6" s="6"/>
      <c r="J6" s="6"/>
      <c r="K6" s="6"/>
      <c r="L6" s="6"/>
      <c r="M6" s="6"/>
      <c r="N6" s="6"/>
      <c r="O6" s="6"/>
    </row>
    <row r="7" spans="2:18" s="1" customFormat="1" ht="22" customHeight="1" thickBot="1" x14ac:dyDescent="0.4">
      <c r="G7" s="71" t="s">
        <v>3</v>
      </c>
      <c r="H7" s="72"/>
      <c r="I7" s="87" t="str">
        <f>'Self-Assessment Form(A)'!I7:M7</f>
        <v>Praveen Ganapathi</v>
      </c>
      <c r="J7" s="88"/>
      <c r="K7" s="88"/>
      <c r="L7" s="88"/>
      <c r="M7" s="88"/>
      <c r="P7" s="4"/>
      <c r="Q7" s="4"/>
    </row>
    <row r="8" spans="2:18" s="1" customFormat="1" ht="23.15" customHeight="1" thickTop="1" thickBot="1" x14ac:dyDescent="0.4">
      <c r="G8" s="71" t="s">
        <v>9</v>
      </c>
      <c r="H8" s="72"/>
      <c r="I8" s="68" t="str">
        <f>'Self-Assessment Form(A)'!I8:M8</f>
        <v>PSA - GTOS</v>
      </c>
      <c r="J8" s="69"/>
      <c r="K8" s="69"/>
      <c r="L8" s="69"/>
      <c r="M8" s="69"/>
      <c r="P8" s="4"/>
      <c r="Q8" s="4"/>
    </row>
    <row r="9" spans="2:18" s="1" customFormat="1" ht="22.5" customHeight="1" thickTop="1" thickBot="1" x14ac:dyDescent="0.4">
      <c r="G9" s="71" t="s">
        <v>5</v>
      </c>
      <c r="H9" s="72"/>
      <c r="I9" s="68" t="str">
        <f>'Self-Assessment Form(A)'!I9:M9</f>
        <v>Lead Software Engineer</v>
      </c>
      <c r="J9" s="69"/>
      <c r="K9" s="69"/>
      <c r="L9" s="69"/>
      <c r="M9" s="69"/>
    </row>
    <row r="10" spans="2:18" s="1" customFormat="1" ht="17.149999999999999" customHeight="1" thickTop="1" x14ac:dyDescent="0.35">
      <c r="P10" s="11"/>
      <c r="Q10" s="11"/>
    </row>
    <row r="11" spans="2:18" s="1" customFormat="1" ht="23.15" customHeight="1" thickBot="1" x14ac:dyDescent="0.4">
      <c r="G11" s="73" t="s">
        <v>6</v>
      </c>
      <c r="H11" s="73"/>
      <c r="I11" s="66" t="str">
        <f>'Self-Assessment Form(A)'!I15:M15</f>
        <v>Angular with PrimeNG</v>
      </c>
      <c r="J11" s="67"/>
      <c r="K11" s="67"/>
      <c r="L11" s="67"/>
      <c r="M11" s="67"/>
    </row>
    <row r="12" spans="2:18" s="1" customFormat="1" ht="23.15" customHeight="1" thickTop="1" thickBot="1" x14ac:dyDescent="0.4">
      <c r="G12" s="73" t="s">
        <v>7</v>
      </c>
      <c r="H12" s="73"/>
      <c r="I12" s="80">
        <f>'Self-Assessment Form(A)'!I16:M16</f>
        <v>46084</v>
      </c>
      <c r="J12" s="67"/>
      <c r="K12" s="67"/>
      <c r="L12" s="67"/>
      <c r="M12" s="67"/>
    </row>
    <row r="13" spans="2:18" s="1" customFormat="1" ht="24.65" customHeight="1" thickTop="1" thickBot="1" x14ac:dyDescent="0.4">
      <c r="F13" s="9"/>
      <c r="H13" s="12"/>
      <c r="I13" s="10"/>
      <c r="J13" s="10"/>
      <c r="K13" s="10"/>
      <c r="L13" s="10"/>
      <c r="M13" s="10"/>
      <c r="N13" s="7"/>
    </row>
    <row r="14" spans="2:18" s="1" customFormat="1" ht="21" customHeight="1" thickTop="1" thickBot="1" x14ac:dyDescent="0.4">
      <c r="C14" s="32"/>
      <c r="D14" s="32" t="s">
        <v>69</v>
      </c>
      <c r="F14" s="78" t="s">
        <v>12</v>
      </c>
      <c r="G14" s="78"/>
      <c r="H14" s="78" t="s">
        <v>59</v>
      </c>
      <c r="I14" s="78"/>
      <c r="J14" s="77" t="s">
        <v>61</v>
      </c>
      <c r="K14" s="77"/>
      <c r="L14" s="78" t="s">
        <v>68</v>
      </c>
      <c r="M14" s="78"/>
      <c r="N14" s="78" t="s">
        <v>67</v>
      </c>
      <c r="O14" s="78"/>
    </row>
    <row r="15" spans="2:18" s="1" customFormat="1" ht="19.5" customHeight="1" thickTop="1" x14ac:dyDescent="0.35">
      <c r="F15" s="9"/>
      <c r="H15" s="12"/>
      <c r="I15" s="10"/>
      <c r="J15" s="10"/>
      <c r="K15" s="10"/>
      <c r="L15" s="10"/>
      <c r="M15" s="10"/>
      <c r="N15" s="7"/>
    </row>
    <row r="16" spans="2:18" s="1" customFormat="1" x14ac:dyDescent="0.35">
      <c r="B16" s="14"/>
      <c r="C16" s="14"/>
      <c r="D16" s="14"/>
      <c r="E16" s="14"/>
      <c r="F16" s="14"/>
      <c r="G16" s="14"/>
      <c r="H16" s="14"/>
      <c r="I16" s="14"/>
      <c r="J16" s="14"/>
      <c r="K16" s="14"/>
      <c r="L16" s="14"/>
      <c r="M16" s="14"/>
      <c r="N16" s="91"/>
      <c r="O16" s="91"/>
      <c r="P16" s="91"/>
    </row>
    <row r="17" spans="2:17" s="1" customFormat="1" ht="3.65" customHeight="1" x14ac:dyDescent="0.35"/>
    <row r="18" spans="2:17" s="1" customFormat="1" x14ac:dyDescent="0.35">
      <c r="B18" s="14" t="s">
        <v>12</v>
      </c>
      <c r="C18" s="14"/>
      <c r="D18" s="14"/>
      <c r="E18" s="14"/>
      <c r="F18" s="14"/>
      <c r="G18" s="14"/>
      <c r="H18" s="14"/>
      <c r="I18" s="14"/>
      <c r="J18" s="14"/>
      <c r="K18" s="14"/>
      <c r="L18" s="14"/>
      <c r="M18" s="14"/>
      <c r="N18" s="14"/>
      <c r="O18" s="13" t="s">
        <v>35</v>
      </c>
      <c r="P18" s="13" t="s">
        <v>36</v>
      </c>
      <c r="Q18" s="13" t="s">
        <v>89</v>
      </c>
    </row>
    <row r="19" spans="2:17" s="1" customFormat="1" ht="36" customHeight="1" x14ac:dyDescent="0.35">
      <c r="B19" s="15">
        <v>1</v>
      </c>
      <c r="C19" s="82" t="s">
        <v>88</v>
      </c>
      <c r="D19" s="83"/>
      <c r="E19" s="83"/>
      <c r="F19" s="83"/>
      <c r="G19" s="83"/>
      <c r="H19" s="83"/>
      <c r="I19" s="83"/>
      <c r="J19" s="83"/>
      <c r="K19" s="83"/>
      <c r="L19" s="83"/>
      <c r="M19" s="83"/>
      <c r="N19" s="84"/>
      <c r="O19" s="18" t="str">
        <f>'Self-Assessment Form(A)'!P24</f>
        <v>NA</v>
      </c>
      <c r="P19" s="19" t="s">
        <v>119</v>
      </c>
      <c r="Q19" s="40" t="e">
        <f>(P19-O19)/(5-O19)</f>
        <v>#VALUE!</v>
      </c>
    </row>
    <row r="20" spans="2:17" s="1" customFormat="1" ht="36" customHeight="1" x14ac:dyDescent="0.35">
      <c r="B20" s="15">
        <v>2</v>
      </c>
      <c r="C20" s="82" t="s">
        <v>87</v>
      </c>
      <c r="D20" s="83"/>
      <c r="E20" s="83"/>
      <c r="F20" s="83"/>
      <c r="G20" s="83"/>
      <c r="H20" s="83"/>
      <c r="I20" s="83"/>
      <c r="J20" s="83"/>
      <c r="K20" s="83"/>
      <c r="L20" s="83"/>
      <c r="M20" s="83"/>
      <c r="N20" s="84"/>
      <c r="O20" s="18">
        <f>'Self-Assessment Form(A)'!P25</f>
        <v>2</v>
      </c>
      <c r="P20" s="19">
        <v>4</v>
      </c>
      <c r="Q20" s="40">
        <f t="shared" ref="Q20:Q21" si="0">(P20-O20)/(5-O20)</f>
        <v>0.66666666666666663</v>
      </c>
    </row>
    <row r="21" spans="2:17" s="1" customFormat="1" ht="36" customHeight="1" x14ac:dyDescent="0.35">
      <c r="B21" s="15">
        <v>3</v>
      </c>
      <c r="C21" s="82" t="s">
        <v>86</v>
      </c>
      <c r="D21" s="83"/>
      <c r="E21" s="83"/>
      <c r="F21" s="83"/>
      <c r="G21" s="83"/>
      <c r="H21" s="83"/>
      <c r="I21" s="83"/>
      <c r="J21" s="83"/>
      <c r="K21" s="83"/>
      <c r="L21" s="83"/>
      <c r="M21" s="83"/>
      <c r="N21" s="84"/>
      <c r="O21" s="18">
        <v>3</v>
      </c>
      <c r="P21" s="41">
        <v>4</v>
      </c>
      <c r="Q21" s="40">
        <f t="shared" si="0"/>
        <v>0.5</v>
      </c>
    </row>
    <row r="22" spans="2:17" s="1" customFormat="1" ht="22.5" customHeight="1" x14ac:dyDescent="0.35">
      <c r="M22" s="85" t="s">
        <v>90</v>
      </c>
      <c r="N22" s="86"/>
      <c r="O22" s="17">
        <f>AVERAGE(O19:O21)</f>
        <v>2.5</v>
      </c>
      <c r="P22" s="42">
        <f>AVERAGE(P19:P21)</f>
        <v>4</v>
      </c>
    </row>
    <row r="23" spans="2:17" s="1" customFormat="1" ht="25" customHeight="1" x14ac:dyDescent="0.35"/>
    <row r="24" spans="2:17" s="1" customFormat="1" ht="19" customHeight="1" x14ac:dyDescent="0.35">
      <c r="B24" s="14" t="s">
        <v>37</v>
      </c>
      <c r="C24" s="14"/>
      <c r="D24" s="14"/>
      <c r="E24" s="14"/>
      <c r="F24" s="14"/>
      <c r="G24" s="14"/>
      <c r="H24" s="14"/>
      <c r="I24" s="14"/>
      <c r="J24" s="14"/>
      <c r="K24" s="14"/>
      <c r="L24" s="14"/>
      <c r="M24" s="14"/>
      <c r="N24" s="14"/>
      <c r="O24" s="13"/>
      <c r="P24" s="13"/>
      <c r="Q24" s="13"/>
    </row>
    <row r="25" spans="2:17" s="1" customFormat="1" ht="21" customHeight="1" x14ac:dyDescent="0.35">
      <c r="L25" s="92" t="s">
        <v>38</v>
      </c>
      <c r="M25" s="92"/>
      <c r="N25" s="92"/>
      <c r="O25" s="24">
        <f>((P22-O22)/(5-O22) * 100)</f>
        <v>60</v>
      </c>
      <c r="P25" s="23" t="s">
        <v>39</v>
      </c>
    </row>
    <row r="26" spans="2:17" s="1" customFormat="1" x14ac:dyDescent="0.35"/>
    <row r="27" spans="2:17" s="1" customFormat="1" x14ac:dyDescent="0.35"/>
    <row r="28" spans="2:17" s="1" customFormat="1" ht="20.149999999999999" customHeight="1" x14ac:dyDescent="0.35">
      <c r="Q28" s="30" t="s">
        <v>62</v>
      </c>
    </row>
    <row r="29" spans="2:17" s="1" customFormat="1" x14ac:dyDescent="0.35"/>
    <row r="30" spans="2:17" s="1" customFormat="1" x14ac:dyDescent="0.35"/>
    <row r="31" spans="2:17" s="1" customFormat="1" x14ac:dyDescent="0.35"/>
    <row r="32" spans="2:17" s="1" customFormat="1" hidden="1" x14ac:dyDescent="0.35"/>
    <row r="33" s="1" customFormat="1" hidden="1" x14ac:dyDescent="0.35"/>
    <row r="34" s="1" customFormat="1" hidden="1" x14ac:dyDescent="0.35"/>
    <row r="35" s="1" customFormat="1" hidden="1" x14ac:dyDescent="0.35"/>
    <row r="36" s="1" customFormat="1" hidden="1" x14ac:dyDescent="0.35"/>
    <row r="37" s="1" customFormat="1" hidden="1" x14ac:dyDescent="0.35"/>
    <row r="38" s="1" customFormat="1" hidden="1" x14ac:dyDescent="0.35"/>
    <row r="39" s="1" customFormat="1" hidden="1" x14ac:dyDescent="0.35"/>
    <row r="40" s="1" customFormat="1" hidden="1" x14ac:dyDescent="0.35"/>
    <row r="41" s="1" customFormat="1" hidden="1" x14ac:dyDescent="0.35"/>
    <row r="42" s="1" customFormat="1" hidden="1" x14ac:dyDescent="0.35"/>
    <row r="43" s="1" customFormat="1" hidden="1" x14ac:dyDescent="0.35"/>
    <row r="44" s="1" customFormat="1" hidden="1" x14ac:dyDescent="0.35"/>
    <row r="45" s="1" customFormat="1" hidden="1" x14ac:dyDescent="0.35"/>
    <row r="46" s="1" customFormat="1" hidden="1" x14ac:dyDescent="0.35"/>
    <row r="47" s="1" customFormat="1" hidden="1" x14ac:dyDescent="0.35"/>
    <row r="48" s="1" customFormat="1" hidden="1" x14ac:dyDescent="0.35"/>
    <row r="49" s="1" customFormat="1" hidden="1" x14ac:dyDescent="0.35"/>
    <row r="50" s="1" customFormat="1" hidden="1" x14ac:dyDescent="0.35"/>
    <row r="51" s="1" customFormat="1" hidden="1" x14ac:dyDescent="0.35"/>
    <row r="52" s="1" customFormat="1" hidden="1" x14ac:dyDescent="0.35"/>
    <row r="53" s="1" customFormat="1" hidden="1" x14ac:dyDescent="0.35"/>
    <row r="54" s="1" customFormat="1" hidden="1" x14ac:dyDescent="0.35"/>
    <row r="55" s="1" customFormat="1" hidden="1" x14ac:dyDescent="0.35"/>
    <row r="56" s="1" customFormat="1" hidden="1" x14ac:dyDescent="0.35"/>
    <row r="57" s="1" customFormat="1" hidden="1" x14ac:dyDescent="0.35"/>
    <row r="58" s="1" customFormat="1" hidden="1" x14ac:dyDescent="0.35"/>
    <row r="59" s="1" customFormat="1" hidden="1" x14ac:dyDescent="0.35"/>
    <row r="60" s="1" customFormat="1" hidden="1" x14ac:dyDescent="0.35"/>
    <row r="61" s="1" customFormat="1" hidden="1" x14ac:dyDescent="0.35"/>
    <row r="62" s="1" customFormat="1" hidden="1" x14ac:dyDescent="0.35"/>
    <row r="63" s="1" customFormat="1" x14ac:dyDescent="0.35"/>
  </sheetData>
  <mergeCells count="24">
    <mergeCell ref="M22:N22"/>
    <mergeCell ref="F1:O2"/>
    <mergeCell ref="H3:M3"/>
    <mergeCell ref="G7:H7"/>
    <mergeCell ref="I7:M7"/>
    <mergeCell ref="G8:H8"/>
    <mergeCell ref="I8:M8"/>
    <mergeCell ref="H5:N5"/>
    <mergeCell ref="L25:N25"/>
    <mergeCell ref="N16:P16"/>
    <mergeCell ref="C19:N19"/>
    <mergeCell ref="C21:N21"/>
    <mergeCell ref="G9:H9"/>
    <mergeCell ref="I9:M9"/>
    <mergeCell ref="G11:H11"/>
    <mergeCell ref="I11:M11"/>
    <mergeCell ref="G12:H12"/>
    <mergeCell ref="I12:M12"/>
    <mergeCell ref="F14:G14"/>
    <mergeCell ref="H14:I14"/>
    <mergeCell ref="J14:K14"/>
    <mergeCell ref="L14:M14"/>
    <mergeCell ref="N14:O14"/>
    <mergeCell ref="C20:N20"/>
  </mergeCells>
  <hyperlinks>
    <hyperlink ref="Q28" location="'Retention(D)'!A1" display="►RETENTION" xr:uid="{95671AAF-9FAB-453A-8874-2BE8B0FBFEBC}"/>
  </hyperlinks>
  <pageMargins left="0.7" right="0.7" top="0.75" bottom="0.75" header="0.3" footer="0.3"/>
  <pageSetup scale="50"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1A34-DE2D-4BDB-9DBE-A68853F44DDE}">
  <sheetPr>
    <pageSetUpPr fitToPage="1"/>
  </sheetPr>
  <dimension ref="A1:T46"/>
  <sheetViews>
    <sheetView topLeftCell="A31" workbookViewId="0"/>
  </sheetViews>
  <sheetFormatPr defaultRowHeight="14.5" zeroHeight="1" x14ac:dyDescent="0.35"/>
  <cols>
    <col min="5" max="5" width="7.1796875" customWidth="1"/>
    <col min="7" max="7" width="9.453125" customWidth="1"/>
    <col min="8" max="8" width="9.81640625" customWidth="1"/>
    <col min="14" max="14" width="6.453125" customWidth="1"/>
    <col min="15" max="15" width="13.453125" customWidth="1"/>
  </cols>
  <sheetData>
    <row r="1" spans="4:19" s="1" customFormat="1" ht="30.65" customHeight="1" x14ac:dyDescent="0.35">
      <c r="F1" s="65" t="s">
        <v>0</v>
      </c>
      <c r="G1" s="65"/>
      <c r="H1" s="65"/>
      <c r="I1" s="65"/>
      <c r="J1" s="65"/>
      <c r="K1" s="65"/>
      <c r="L1" s="65"/>
      <c r="M1" s="65"/>
      <c r="N1" s="65"/>
      <c r="O1" s="65"/>
      <c r="S1" s="5">
        <v>2024</v>
      </c>
    </row>
    <row r="2" spans="4:19" s="1" customFormat="1" ht="26.5" customHeight="1" x14ac:dyDescent="0.35">
      <c r="F2" s="65"/>
      <c r="G2" s="65"/>
      <c r="H2" s="65"/>
      <c r="I2" s="65"/>
      <c r="J2" s="65"/>
      <c r="K2" s="65"/>
      <c r="L2" s="65"/>
      <c r="M2" s="65"/>
      <c r="N2" s="65"/>
      <c r="O2" s="65"/>
    </row>
    <row r="3" spans="4:19" s="1" customFormat="1" ht="14.5" customHeight="1" x14ac:dyDescent="0.35">
      <c r="E3" s="2"/>
      <c r="F3" s="2"/>
      <c r="H3" s="70" t="s">
        <v>44</v>
      </c>
      <c r="I3" s="70"/>
      <c r="J3" s="70"/>
      <c r="K3" s="70"/>
      <c r="L3" s="70"/>
      <c r="M3" s="70"/>
      <c r="N3" s="6"/>
      <c r="O3" s="6"/>
      <c r="P3" s="6"/>
    </row>
    <row r="4" spans="4:19" s="1" customFormat="1" ht="14.5" customHeight="1" x14ac:dyDescent="0.35">
      <c r="E4" s="2"/>
      <c r="F4" s="2"/>
      <c r="H4" s="56"/>
      <c r="I4" s="56"/>
      <c r="J4" s="56"/>
      <c r="K4" s="56"/>
      <c r="L4" s="56"/>
      <c r="M4" s="56"/>
      <c r="N4" s="6"/>
      <c r="O4" s="6"/>
      <c r="P4" s="6"/>
    </row>
    <row r="5" spans="4:19" s="1" customFormat="1" ht="14.5" customHeight="1" x14ac:dyDescent="0.35">
      <c r="E5" s="2"/>
      <c r="F5" s="2"/>
      <c r="H5" s="76" t="s">
        <v>113</v>
      </c>
      <c r="I5" s="76"/>
      <c r="J5" s="76"/>
      <c r="K5" s="76"/>
      <c r="L5" s="76"/>
      <c r="M5" s="76"/>
      <c r="N5" s="76"/>
      <c r="O5" s="6"/>
      <c r="P5" s="6"/>
    </row>
    <row r="6" spans="4:19" s="1" customFormat="1" ht="20.149999999999999" customHeight="1" x14ac:dyDescent="0.35">
      <c r="D6" s="3"/>
      <c r="E6" s="2"/>
      <c r="F6" s="2"/>
      <c r="I6" s="6"/>
      <c r="J6" s="6"/>
      <c r="K6" s="6"/>
      <c r="L6" s="6"/>
      <c r="M6" s="6"/>
      <c r="N6" s="6"/>
      <c r="O6" s="6"/>
      <c r="P6" s="6"/>
    </row>
    <row r="7" spans="4:19" s="1" customFormat="1" ht="22" customHeight="1" thickBot="1" x14ac:dyDescent="0.4">
      <c r="G7" s="71" t="s">
        <v>3</v>
      </c>
      <c r="H7" s="72"/>
      <c r="I7" s="87" t="str">
        <f>'Self-Assessment Form(A)'!I7:M7</f>
        <v>Praveen Ganapathi</v>
      </c>
      <c r="J7" s="88"/>
      <c r="K7" s="88"/>
      <c r="L7" s="88"/>
      <c r="M7" s="88"/>
      <c r="Q7" s="4"/>
    </row>
    <row r="8" spans="4:19" s="1" customFormat="1" ht="23.15" customHeight="1" thickTop="1" thickBot="1" x14ac:dyDescent="0.4">
      <c r="G8" s="71" t="s">
        <v>9</v>
      </c>
      <c r="H8" s="72"/>
      <c r="I8" s="68" t="str">
        <f>'Self-Assessment Form(A)'!I8:M8</f>
        <v>PSA - GTOS</v>
      </c>
      <c r="J8" s="69"/>
      <c r="K8" s="69"/>
      <c r="L8" s="69"/>
      <c r="M8" s="69"/>
      <c r="Q8" s="4"/>
    </row>
    <row r="9" spans="4:19" s="1" customFormat="1" ht="22.5" customHeight="1" thickTop="1" thickBot="1" x14ac:dyDescent="0.4">
      <c r="G9" s="71" t="s">
        <v>5</v>
      </c>
      <c r="H9" s="72"/>
      <c r="I9" s="68" t="str">
        <f>'Self-Assessment Form(A)'!I9:M9</f>
        <v>Lead Software Engineer</v>
      </c>
      <c r="J9" s="69"/>
      <c r="K9" s="69"/>
      <c r="L9" s="69"/>
      <c r="M9" s="69"/>
    </row>
    <row r="10" spans="4:19" s="1" customFormat="1" ht="17.149999999999999" customHeight="1" thickTop="1" x14ac:dyDescent="0.35">
      <c r="Q10" s="11"/>
    </row>
    <row r="11" spans="4:19" s="1" customFormat="1" ht="23.15" customHeight="1" thickBot="1" x14ac:dyDescent="0.4">
      <c r="G11" s="73" t="s">
        <v>6</v>
      </c>
      <c r="H11" s="73"/>
      <c r="I11" s="66" t="str">
        <f>'Self-Assessment Form(A)'!I15:M15</f>
        <v>Angular with PrimeNG</v>
      </c>
      <c r="J11" s="67"/>
      <c r="K11" s="67"/>
      <c r="L11" s="67"/>
      <c r="M11" s="67"/>
    </row>
    <row r="12" spans="4:19" s="1" customFormat="1" ht="23.15" customHeight="1" thickTop="1" thickBot="1" x14ac:dyDescent="0.4">
      <c r="G12" s="73" t="s">
        <v>7</v>
      </c>
      <c r="H12" s="73"/>
      <c r="I12" s="80">
        <f>'Self-Assessment Form(A)'!I16:M16</f>
        <v>46084</v>
      </c>
      <c r="J12" s="89"/>
      <c r="K12" s="89"/>
      <c r="L12" s="89"/>
      <c r="M12" s="89"/>
    </row>
    <row r="13" spans="4:19" s="1" customFormat="1" ht="23.15" customHeight="1" thickTop="1" thickBot="1" x14ac:dyDescent="0.4">
      <c r="G13" s="73" t="s">
        <v>41</v>
      </c>
      <c r="H13" s="73"/>
      <c r="I13" s="80"/>
      <c r="J13" s="89"/>
      <c r="K13" s="89"/>
      <c r="L13" s="89"/>
      <c r="M13" s="89"/>
    </row>
    <row r="14" spans="4:19" s="1" customFormat="1" ht="23.15" customHeight="1" thickTop="1" thickBot="1" x14ac:dyDescent="0.4">
      <c r="G14" s="16"/>
      <c r="H14" s="16"/>
      <c r="I14" s="43" t="s">
        <v>70</v>
      </c>
      <c r="J14" s="33"/>
      <c r="K14" s="33"/>
      <c r="L14" s="33"/>
      <c r="M14" s="33"/>
    </row>
    <row r="15" spans="4:19" s="1" customFormat="1" ht="21" customHeight="1" thickTop="1" thickBot="1" x14ac:dyDescent="0.4">
      <c r="D15" s="32" t="s">
        <v>69</v>
      </c>
      <c r="F15" s="78" t="s">
        <v>12</v>
      </c>
      <c r="G15" s="78"/>
      <c r="H15" s="78" t="s">
        <v>59</v>
      </c>
      <c r="I15" s="78"/>
      <c r="J15" s="78" t="s">
        <v>65</v>
      </c>
      <c r="K15" s="78"/>
      <c r="L15" s="77" t="s">
        <v>62</v>
      </c>
      <c r="M15" s="77"/>
      <c r="N15" s="78" t="s">
        <v>67</v>
      </c>
      <c r="O15" s="78"/>
    </row>
    <row r="16" spans="4:19" s="1" customFormat="1" ht="19" customHeight="1" thickTop="1" x14ac:dyDescent="0.35"/>
    <row r="17" spans="1:20" s="1" customFormat="1" x14ac:dyDescent="0.35">
      <c r="B17" s="13"/>
      <c r="C17" s="13"/>
      <c r="D17" s="13"/>
      <c r="E17" s="13"/>
      <c r="F17" s="13"/>
      <c r="G17" s="13"/>
      <c r="H17" s="13" t="s">
        <v>93</v>
      </c>
      <c r="I17" s="13"/>
      <c r="J17" s="13"/>
      <c r="K17" s="14"/>
      <c r="L17" s="14"/>
      <c r="M17" s="14"/>
      <c r="N17" s="14"/>
      <c r="O17" s="14"/>
    </row>
    <row r="18" spans="1:20" s="1" customFormat="1" ht="3.65" customHeight="1" x14ac:dyDescent="0.35"/>
    <row r="19" spans="1:20" s="1" customFormat="1" x14ac:dyDescent="0.35">
      <c r="B19" s="14" t="s">
        <v>91</v>
      </c>
      <c r="C19" s="14"/>
      <c r="D19" s="14"/>
      <c r="E19" s="14"/>
      <c r="F19" s="14"/>
      <c r="G19" s="14"/>
      <c r="H19" s="14"/>
      <c r="I19" s="14"/>
      <c r="J19" s="14"/>
      <c r="K19" s="14"/>
      <c r="L19" s="14"/>
      <c r="M19" s="14"/>
      <c r="N19" s="14"/>
      <c r="O19" s="26" t="s">
        <v>92</v>
      </c>
      <c r="T19" s="29"/>
    </row>
    <row r="20" spans="1:20" s="1" customFormat="1" ht="24" customHeight="1" x14ac:dyDescent="0.35">
      <c r="B20" s="15">
        <v>1</v>
      </c>
      <c r="C20" s="34" t="s">
        <v>45</v>
      </c>
      <c r="D20" s="35"/>
      <c r="E20" s="35"/>
      <c r="F20" s="35"/>
      <c r="G20" s="35"/>
      <c r="H20" s="35"/>
      <c r="I20" s="35"/>
      <c r="J20" s="35"/>
      <c r="K20" s="35"/>
      <c r="L20" s="35"/>
      <c r="M20" s="35"/>
      <c r="N20" s="36"/>
      <c r="O20" s="27"/>
      <c r="T20" s="29">
        <v>5</v>
      </c>
    </row>
    <row r="21" spans="1:20" s="1" customFormat="1" ht="24" customHeight="1" x14ac:dyDescent="0.35">
      <c r="B21" s="15">
        <v>2</v>
      </c>
      <c r="C21" s="82" t="s">
        <v>94</v>
      </c>
      <c r="D21" s="83"/>
      <c r="E21" s="83"/>
      <c r="F21" s="83"/>
      <c r="G21" s="83"/>
      <c r="H21" s="83"/>
      <c r="I21" s="83"/>
      <c r="J21" s="83"/>
      <c r="K21" s="83"/>
      <c r="L21" s="83"/>
      <c r="M21" s="83"/>
      <c r="N21" s="84"/>
      <c r="O21" s="27"/>
      <c r="T21" s="29">
        <v>4</v>
      </c>
    </row>
    <row r="22" spans="1:20" s="1" customFormat="1" ht="24" customHeight="1" x14ac:dyDescent="0.35">
      <c r="B22" s="15">
        <v>3</v>
      </c>
      <c r="C22" s="82" t="s">
        <v>46</v>
      </c>
      <c r="D22" s="83"/>
      <c r="E22" s="83"/>
      <c r="F22" s="83"/>
      <c r="G22" s="83"/>
      <c r="H22" s="83"/>
      <c r="I22" s="83"/>
      <c r="J22" s="83"/>
      <c r="K22" s="83"/>
      <c r="L22" s="83"/>
      <c r="M22" s="83"/>
      <c r="N22" s="84"/>
      <c r="O22" s="27"/>
      <c r="T22" s="29">
        <v>3</v>
      </c>
    </row>
    <row r="23" spans="1:20" s="1" customFormat="1" ht="24" customHeight="1" x14ac:dyDescent="0.35">
      <c r="B23" s="15">
        <v>4</v>
      </c>
      <c r="C23" s="82" t="s">
        <v>47</v>
      </c>
      <c r="D23" s="83"/>
      <c r="E23" s="83"/>
      <c r="F23" s="83"/>
      <c r="G23" s="83"/>
      <c r="H23" s="83"/>
      <c r="I23" s="83"/>
      <c r="J23" s="83"/>
      <c r="K23" s="83"/>
      <c r="L23" s="83"/>
      <c r="M23" s="83"/>
      <c r="N23" s="84"/>
      <c r="O23" s="27"/>
      <c r="T23" s="29">
        <v>2</v>
      </c>
    </row>
    <row r="24" spans="1:20" s="1" customFormat="1" ht="24" customHeight="1" x14ac:dyDescent="0.35">
      <c r="A24" s="1" t="s">
        <v>49</v>
      </c>
      <c r="B24" s="15">
        <v>5</v>
      </c>
      <c r="C24" s="82" t="s">
        <v>48</v>
      </c>
      <c r="D24" s="83"/>
      <c r="E24" s="83"/>
      <c r="F24" s="83"/>
      <c r="G24" s="83"/>
      <c r="H24" s="83"/>
      <c r="I24" s="83"/>
      <c r="J24" s="83"/>
      <c r="K24" s="83"/>
      <c r="L24" s="83"/>
      <c r="M24" s="83"/>
      <c r="N24" s="84"/>
      <c r="O24" s="27"/>
      <c r="T24" s="29">
        <v>1</v>
      </c>
    </row>
    <row r="25" spans="1:20" s="1" customFormat="1" ht="24" customHeight="1" x14ac:dyDescent="0.35">
      <c r="B25" s="15">
        <v>6</v>
      </c>
      <c r="C25" s="82" t="s">
        <v>95</v>
      </c>
      <c r="D25" s="83"/>
      <c r="E25" s="83"/>
      <c r="F25" s="83"/>
      <c r="G25" s="83"/>
      <c r="H25" s="83"/>
      <c r="I25" s="83"/>
      <c r="J25" s="83"/>
      <c r="K25" s="83"/>
      <c r="L25" s="83"/>
      <c r="M25" s="83"/>
      <c r="N25" s="84"/>
      <c r="O25" s="27"/>
      <c r="T25" s="29"/>
    </row>
    <row r="26" spans="1:20" s="1" customFormat="1" ht="25" customHeight="1" x14ac:dyDescent="0.35"/>
    <row r="27" spans="1:20" s="1" customFormat="1" x14ac:dyDescent="0.35">
      <c r="B27" s="14"/>
      <c r="C27" s="14"/>
      <c r="D27" s="14"/>
      <c r="E27" s="14"/>
      <c r="F27" s="14"/>
      <c r="G27" s="14"/>
      <c r="H27" s="14"/>
      <c r="I27" s="14"/>
      <c r="J27" s="14"/>
      <c r="K27" s="14"/>
      <c r="L27" s="14"/>
      <c r="M27" s="14"/>
      <c r="N27" s="91"/>
      <c r="O27" s="91"/>
      <c r="P27" s="91"/>
      <c r="Q27" s="91"/>
      <c r="R27" s="91"/>
    </row>
    <row r="28" spans="1:20" s="1" customFormat="1" ht="3.65" customHeight="1" x14ac:dyDescent="0.35"/>
    <row r="29" spans="1:20" s="1" customFormat="1" ht="19.5" customHeight="1" x14ac:dyDescent="0.35">
      <c r="B29" s="14" t="s">
        <v>96</v>
      </c>
      <c r="C29" s="14"/>
      <c r="D29" s="14"/>
      <c r="E29" s="14"/>
      <c r="F29" s="14"/>
      <c r="G29" s="14"/>
      <c r="H29" s="14"/>
      <c r="I29" s="14"/>
      <c r="J29" s="14"/>
      <c r="K29" s="14"/>
      <c r="L29" s="14"/>
      <c r="M29" s="14"/>
      <c r="N29" s="14"/>
      <c r="O29" s="91" t="s">
        <v>107</v>
      </c>
      <c r="P29" s="91"/>
      <c r="Q29" s="91"/>
      <c r="R29" s="91"/>
    </row>
    <row r="30" spans="1:20" s="1" customFormat="1" ht="24" customHeight="1" x14ac:dyDescent="0.35">
      <c r="B30" s="15">
        <v>1</v>
      </c>
      <c r="C30" s="82" t="s">
        <v>50</v>
      </c>
      <c r="D30" s="83"/>
      <c r="E30" s="83"/>
      <c r="F30" s="83"/>
      <c r="G30" s="83"/>
      <c r="H30" s="83"/>
      <c r="I30" s="83"/>
      <c r="J30" s="83"/>
      <c r="K30" s="83"/>
      <c r="L30" s="83"/>
      <c r="M30" s="83"/>
      <c r="N30" s="84"/>
      <c r="O30" s="93"/>
      <c r="P30" s="94"/>
      <c r="Q30" s="94"/>
      <c r="R30" s="95"/>
      <c r="T30" s="29"/>
    </row>
    <row r="31" spans="1:20" s="1" customFormat="1" ht="24" customHeight="1" x14ac:dyDescent="0.35">
      <c r="B31" s="15">
        <v>2</v>
      </c>
      <c r="C31" s="82" t="s">
        <v>51</v>
      </c>
      <c r="D31" s="83"/>
      <c r="E31" s="83"/>
      <c r="F31" s="83"/>
      <c r="G31" s="83"/>
      <c r="H31" s="83"/>
      <c r="I31" s="83"/>
      <c r="J31" s="83"/>
      <c r="K31" s="83"/>
      <c r="L31" s="83"/>
      <c r="M31" s="83"/>
      <c r="N31" s="84"/>
      <c r="O31" s="93"/>
      <c r="P31" s="94"/>
      <c r="Q31" s="94"/>
      <c r="R31" s="95"/>
      <c r="T31" s="29" t="s">
        <v>54</v>
      </c>
    </row>
    <row r="32" spans="1:20" s="1" customFormat="1" ht="24" customHeight="1" x14ac:dyDescent="0.35">
      <c r="B32" s="15">
        <v>3</v>
      </c>
      <c r="C32" s="96" t="s">
        <v>52</v>
      </c>
      <c r="D32" s="83"/>
      <c r="E32" s="83"/>
      <c r="F32" s="83"/>
      <c r="G32" s="83"/>
      <c r="H32" s="83"/>
      <c r="I32" s="83"/>
      <c r="J32" s="83"/>
      <c r="K32" s="83"/>
      <c r="L32" s="83"/>
      <c r="M32" s="83"/>
      <c r="N32" s="84"/>
      <c r="O32" s="93"/>
      <c r="P32" s="94"/>
      <c r="Q32" s="94"/>
      <c r="R32" s="95"/>
      <c r="T32" s="29"/>
    </row>
    <row r="33" spans="1:20" s="1" customFormat="1" ht="24" customHeight="1" x14ac:dyDescent="0.35">
      <c r="B33" s="15">
        <v>4</v>
      </c>
      <c r="C33" s="82" t="s">
        <v>53</v>
      </c>
      <c r="D33" s="83"/>
      <c r="E33" s="83"/>
      <c r="F33" s="83"/>
      <c r="G33" s="83"/>
      <c r="H33" s="83"/>
      <c r="I33" s="83"/>
      <c r="J33" s="83"/>
      <c r="K33" s="83"/>
      <c r="L33" s="83"/>
      <c r="M33" s="83"/>
      <c r="N33" s="84"/>
      <c r="O33" s="93"/>
      <c r="P33" s="94"/>
      <c r="Q33" s="94"/>
      <c r="R33" s="95"/>
      <c r="T33" s="29"/>
    </row>
    <row r="34" spans="1:20" s="1" customFormat="1" ht="23.5" customHeight="1" x14ac:dyDescent="0.35"/>
    <row r="35" spans="1:20" s="1" customFormat="1" ht="19.5" customHeight="1" x14ac:dyDescent="0.35">
      <c r="B35" s="14" t="s">
        <v>55</v>
      </c>
      <c r="C35" s="14"/>
      <c r="D35" s="14"/>
      <c r="E35" s="14"/>
      <c r="F35" s="14"/>
      <c r="G35" s="14"/>
      <c r="H35" s="14"/>
      <c r="I35" s="14"/>
      <c r="J35" s="14"/>
      <c r="K35" s="14"/>
      <c r="L35" s="14"/>
      <c r="M35" s="14"/>
      <c r="N35" s="14"/>
      <c r="O35" s="13"/>
      <c r="P35" s="13"/>
      <c r="Q35" s="13"/>
      <c r="R35" s="13"/>
    </row>
    <row r="36" spans="1:20" s="1" customFormat="1" ht="98.5" customHeight="1" x14ac:dyDescent="0.35">
      <c r="B36" s="93"/>
      <c r="C36" s="94"/>
      <c r="D36" s="94"/>
      <c r="E36" s="94"/>
      <c r="F36" s="94"/>
      <c r="G36" s="94"/>
      <c r="H36" s="94"/>
      <c r="I36" s="94"/>
      <c r="J36" s="94"/>
      <c r="K36" s="94"/>
      <c r="L36" s="94"/>
      <c r="M36" s="94"/>
      <c r="N36" s="94"/>
      <c r="O36" s="94"/>
      <c r="P36" s="94"/>
      <c r="Q36" s="94"/>
      <c r="R36" s="95"/>
    </row>
    <row r="37" spans="1:20" s="1" customFormat="1" x14ac:dyDescent="0.35"/>
    <row r="38" spans="1:20" s="1" customFormat="1" x14ac:dyDescent="0.35">
      <c r="B38" s="14" t="s">
        <v>56</v>
      </c>
      <c r="C38" s="14"/>
      <c r="D38" s="14"/>
      <c r="E38" s="14"/>
      <c r="F38" s="14"/>
      <c r="G38" s="14"/>
      <c r="H38" s="14"/>
      <c r="I38" s="14"/>
      <c r="J38" s="14"/>
      <c r="K38" s="14"/>
      <c r="L38" s="14"/>
      <c r="M38" s="14"/>
      <c r="N38" s="14"/>
      <c r="O38" s="13"/>
      <c r="P38" s="13"/>
      <c r="Q38" s="13"/>
      <c r="R38" s="13"/>
    </row>
    <row r="39" spans="1:20" s="1" customFormat="1" ht="126" customHeight="1" x14ac:dyDescent="0.35">
      <c r="B39" s="82"/>
      <c r="C39" s="83"/>
      <c r="D39" s="83"/>
      <c r="E39" s="83"/>
      <c r="F39" s="83"/>
      <c r="G39" s="83"/>
      <c r="H39" s="83"/>
      <c r="I39" s="83"/>
      <c r="J39" s="83"/>
      <c r="K39" s="83"/>
      <c r="L39" s="83"/>
      <c r="M39" s="83"/>
      <c r="N39" s="83"/>
      <c r="O39" s="83"/>
      <c r="P39" s="83"/>
      <c r="Q39" s="83"/>
      <c r="R39" s="84"/>
    </row>
    <row r="40" spans="1:20" s="1" customFormat="1" x14ac:dyDescent="0.35"/>
    <row r="41" spans="1:20" s="1" customFormat="1" x14ac:dyDescent="0.35"/>
    <row r="42" spans="1:20" s="1" customFormat="1" ht="18.649999999999999" customHeight="1" x14ac:dyDescent="0.35">
      <c r="Q42" s="90" t="s">
        <v>63</v>
      </c>
      <c r="R42" s="90"/>
    </row>
    <row r="43" spans="1:20" s="1" customFormat="1" x14ac:dyDescent="0.35"/>
    <row r="44" spans="1:20" s="1" customFormat="1" x14ac:dyDescent="0.35"/>
    <row r="45" spans="1:20" s="1" customFormat="1" hidden="1" x14ac:dyDescent="0.35">
      <c r="A45" s="1" t="s">
        <v>71</v>
      </c>
    </row>
    <row r="46" spans="1:20" s="1" customFormat="1" hidden="1" x14ac:dyDescent="0.35"/>
  </sheetData>
  <mergeCells count="38">
    <mergeCell ref="Q42:R42"/>
    <mergeCell ref="F15:G15"/>
    <mergeCell ref="H15:I15"/>
    <mergeCell ref="J15:K15"/>
    <mergeCell ref="L15:M15"/>
    <mergeCell ref="N15:O15"/>
    <mergeCell ref="C21:N21"/>
    <mergeCell ref="C22:N22"/>
    <mergeCell ref="C23:N23"/>
    <mergeCell ref="C24:N24"/>
    <mergeCell ref="B36:R36"/>
    <mergeCell ref="B39:R39"/>
    <mergeCell ref="C31:N31"/>
    <mergeCell ref="C32:N32"/>
    <mergeCell ref="C33:N33"/>
    <mergeCell ref="O31:R31"/>
    <mergeCell ref="F1:O2"/>
    <mergeCell ref="H3:M3"/>
    <mergeCell ref="G7:H7"/>
    <mergeCell ref="I7:M7"/>
    <mergeCell ref="G8:H8"/>
    <mergeCell ref="I8:M8"/>
    <mergeCell ref="H5:N5"/>
    <mergeCell ref="G9:H9"/>
    <mergeCell ref="I9:M9"/>
    <mergeCell ref="G11:H11"/>
    <mergeCell ref="I11:M11"/>
    <mergeCell ref="G12:H12"/>
    <mergeCell ref="I12:M12"/>
    <mergeCell ref="O32:R32"/>
    <mergeCell ref="O33:R33"/>
    <mergeCell ref="G13:H13"/>
    <mergeCell ref="I13:M13"/>
    <mergeCell ref="O29:R29"/>
    <mergeCell ref="O30:R30"/>
    <mergeCell ref="C25:N25"/>
    <mergeCell ref="N27:R27"/>
    <mergeCell ref="C30:N30"/>
  </mergeCells>
  <dataValidations count="2">
    <dataValidation type="list" allowBlank="1" showInputMessage="1" showErrorMessage="1" sqref="O20:O25" xr:uid="{A5C022C1-D2EA-443A-8D78-817F6914F792}">
      <formula1>$T$20:$T$24</formula1>
    </dataValidation>
    <dataValidation type="list" allowBlank="1" showInputMessage="1" showErrorMessage="1" sqref="O30:R33" xr:uid="{AC00D401-E4C1-408A-8769-D261732B0CC2}">
      <formula1>$T$31</formula1>
    </dataValidation>
  </dataValidations>
  <hyperlinks>
    <hyperlink ref="Q42" location="'Retention(D)'!A1" display="►RETENTION" xr:uid="{72C64D08-DED0-4DE1-9A1F-3F4AAED70072}"/>
  </hyperlinks>
  <pageMargins left="0.7" right="0.7" top="0.75" bottom="0.75" header="0.3" footer="0.3"/>
  <pageSetup scale="46" fitToWidth="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BA0E-ACC9-4C25-ADD8-C0C80E99BA61}">
  <sheetPr>
    <pageSetUpPr fitToPage="1"/>
  </sheetPr>
  <dimension ref="B1:X36"/>
  <sheetViews>
    <sheetView workbookViewId="0">
      <selection activeCell="Q1" sqref="Q1"/>
    </sheetView>
  </sheetViews>
  <sheetFormatPr defaultRowHeight="14.5" zeroHeight="1" x14ac:dyDescent="0.35"/>
  <cols>
    <col min="2" max="3" width="8.7265625" style="1"/>
    <col min="4" max="4" width="7.1796875" style="1" customWidth="1"/>
    <col min="5" max="5" width="22.54296875" style="1" customWidth="1"/>
    <col min="6" max="6" width="9.453125" style="1" customWidth="1"/>
    <col min="7" max="7" width="9.81640625" style="1" customWidth="1"/>
    <col min="8" max="8" width="2.81640625" style="1" customWidth="1"/>
    <col min="9" max="11" width="8.7265625" style="1"/>
    <col min="12" max="12" width="10.81640625" style="1" customWidth="1"/>
    <col min="13" max="13" width="9.1796875" style="1" customWidth="1"/>
    <col min="14" max="14" width="8.453125" style="1" customWidth="1"/>
    <col min="15" max="15" width="8.7265625" style="1"/>
    <col min="16" max="16" width="10.81640625" style="1" customWidth="1"/>
  </cols>
  <sheetData>
    <row r="1" spans="2:17" s="1" customFormat="1" ht="30.65" customHeight="1" x14ac:dyDescent="0.35">
      <c r="E1" s="65" t="s">
        <v>0</v>
      </c>
      <c r="F1" s="65"/>
      <c r="G1" s="65"/>
      <c r="H1" s="65"/>
      <c r="I1" s="65"/>
      <c r="J1" s="65"/>
      <c r="K1" s="65"/>
      <c r="L1" s="65"/>
      <c r="M1" s="65"/>
      <c r="N1" s="65"/>
      <c r="Q1" s="5">
        <v>2024</v>
      </c>
    </row>
    <row r="2" spans="2:17" s="1" customFormat="1" ht="26.5" customHeight="1" x14ac:dyDescent="0.35">
      <c r="E2" s="65"/>
      <c r="F2" s="65"/>
      <c r="G2" s="65"/>
      <c r="H2" s="65"/>
      <c r="I2" s="65"/>
      <c r="J2" s="65"/>
      <c r="K2" s="65"/>
      <c r="L2" s="65"/>
      <c r="M2" s="65"/>
      <c r="N2" s="65"/>
    </row>
    <row r="3" spans="2:17" s="1" customFormat="1" ht="14.5" customHeight="1" x14ac:dyDescent="0.35">
      <c r="D3" s="2"/>
      <c r="E3" s="2"/>
      <c r="G3" s="70" t="s">
        <v>58</v>
      </c>
      <c r="H3" s="70"/>
      <c r="I3" s="70"/>
      <c r="J3" s="70"/>
      <c r="K3" s="70"/>
      <c r="L3" s="70"/>
      <c r="M3" s="6"/>
      <c r="N3" s="6"/>
      <c r="O3" s="6"/>
    </row>
    <row r="4" spans="2:17" s="1" customFormat="1" ht="14.5" customHeight="1" x14ac:dyDescent="0.35">
      <c r="D4" s="2"/>
      <c r="E4" s="2"/>
      <c r="G4" s="56"/>
      <c r="H4" s="56"/>
      <c r="I4" s="56"/>
      <c r="J4" s="56"/>
      <c r="K4" s="56"/>
      <c r="L4" s="56"/>
      <c r="M4" s="6"/>
      <c r="N4" s="6"/>
      <c r="O4" s="6"/>
    </row>
    <row r="5" spans="2:17" s="1" customFormat="1" ht="14.5" customHeight="1" x14ac:dyDescent="0.35">
      <c r="E5" s="2"/>
      <c r="F5" s="76" t="s">
        <v>114</v>
      </c>
      <c r="G5" s="76"/>
      <c r="H5" s="76"/>
      <c r="I5" s="76"/>
      <c r="J5" s="76"/>
      <c r="K5" s="76"/>
      <c r="L5" s="76"/>
      <c r="M5" s="76"/>
      <c r="N5" s="58"/>
      <c r="O5" s="6"/>
      <c r="P5" s="6"/>
    </row>
    <row r="6" spans="2:17" s="1" customFormat="1" ht="20.149999999999999" customHeight="1" thickBot="1" x14ac:dyDescent="0.4">
      <c r="C6" s="3"/>
      <c r="D6" s="2"/>
      <c r="E6" s="2"/>
      <c r="H6" s="6"/>
      <c r="I6" s="6"/>
      <c r="J6" s="6"/>
      <c r="K6" s="6"/>
      <c r="L6" s="6"/>
      <c r="M6" s="6"/>
      <c r="N6" s="6"/>
      <c r="O6" s="6"/>
    </row>
    <row r="7" spans="2:17" s="1" customFormat="1" ht="21" customHeight="1" thickTop="1" thickBot="1" x14ac:dyDescent="0.4">
      <c r="C7" s="32" t="s">
        <v>69</v>
      </c>
      <c r="E7" s="78" t="s">
        <v>12</v>
      </c>
      <c r="F7" s="78"/>
      <c r="G7" s="78" t="s">
        <v>59</v>
      </c>
      <c r="H7" s="78"/>
      <c r="I7" s="78" t="s">
        <v>65</v>
      </c>
      <c r="J7" s="78"/>
      <c r="K7" s="106" t="s">
        <v>68</v>
      </c>
      <c r="L7" s="107"/>
      <c r="M7" s="77" t="s">
        <v>63</v>
      </c>
      <c r="N7" s="77"/>
    </row>
    <row r="8" spans="2:17" s="1" customFormat="1" ht="19.5" customHeight="1" thickTop="1" x14ac:dyDescent="0.35"/>
    <row r="9" spans="2:17" s="1" customFormat="1" x14ac:dyDescent="0.35">
      <c r="B9" s="14"/>
      <c r="C9" s="14"/>
      <c r="D9" s="14"/>
      <c r="E9" s="14"/>
      <c r="F9" s="14"/>
      <c r="G9" s="14"/>
      <c r="H9" s="14"/>
      <c r="I9" s="14"/>
      <c r="J9" s="91"/>
      <c r="K9" s="91"/>
      <c r="L9" s="91"/>
      <c r="M9" s="91"/>
      <c r="N9" s="91"/>
      <c r="O9" s="91"/>
      <c r="P9" s="91"/>
    </row>
    <row r="10" spans="2:17" s="1" customFormat="1" ht="3.65" customHeight="1" x14ac:dyDescent="0.35"/>
    <row r="11" spans="2:17" s="1" customFormat="1" ht="23.15" customHeight="1" x14ac:dyDescent="0.35">
      <c r="B11" s="60" t="s">
        <v>100</v>
      </c>
      <c r="C11" s="60"/>
      <c r="D11" s="60"/>
      <c r="E11" s="60"/>
      <c r="F11" s="60"/>
      <c r="G11" s="108"/>
      <c r="H11" s="109"/>
      <c r="I11" s="109"/>
      <c r="J11" s="110"/>
      <c r="K11" s="60" t="s">
        <v>102</v>
      </c>
      <c r="L11" s="60"/>
      <c r="M11" s="60"/>
      <c r="N11" s="60"/>
      <c r="O11" s="60"/>
      <c r="P11" s="51"/>
    </row>
    <row r="12" spans="2:17" s="1" customFormat="1" ht="23.15" customHeight="1" x14ac:dyDescent="0.35">
      <c r="B12" s="8"/>
      <c r="C12" s="8"/>
      <c r="D12" s="8"/>
      <c r="E12" s="8"/>
      <c r="F12" s="8"/>
      <c r="G12" s="49"/>
      <c r="H12" s="49"/>
      <c r="I12" s="49"/>
      <c r="J12" s="49"/>
      <c r="K12" s="8"/>
      <c r="L12" s="8"/>
      <c r="M12" s="8"/>
      <c r="N12" s="8"/>
      <c r="O12" s="8"/>
      <c r="P12" s="49"/>
    </row>
    <row r="13" spans="2:17" s="1" customFormat="1" ht="23.15" customHeight="1" x14ac:dyDescent="0.35">
      <c r="B13" s="60" t="s">
        <v>104</v>
      </c>
      <c r="C13" s="60"/>
      <c r="D13" s="60"/>
      <c r="E13" s="60"/>
      <c r="F13" s="60"/>
      <c r="G13" s="108"/>
      <c r="H13" s="109"/>
      <c r="I13" s="109"/>
      <c r="J13" s="110"/>
      <c r="K13" s="60" t="s">
        <v>105</v>
      </c>
      <c r="L13" s="60"/>
      <c r="M13" s="60"/>
      <c r="N13" s="60"/>
      <c r="O13" s="60"/>
      <c r="P13" s="52"/>
    </row>
    <row r="14" spans="2:17" s="1" customFormat="1" ht="22" customHeight="1" x14ac:dyDescent="0.35">
      <c r="B14" s="28"/>
      <c r="C14" s="28"/>
      <c r="D14" s="28"/>
      <c r="E14" s="28"/>
      <c r="F14" s="28"/>
      <c r="G14" s="28"/>
      <c r="H14" s="28"/>
      <c r="I14" s="28"/>
      <c r="J14" s="28"/>
      <c r="K14" s="28"/>
      <c r="L14" s="28"/>
      <c r="M14" s="28"/>
      <c r="N14" s="28"/>
      <c r="O14" s="28"/>
      <c r="P14" s="47"/>
      <c r="Q14" s="47"/>
    </row>
    <row r="15" spans="2:17" s="1" customFormat="1" x14ac:dyDescent="0.35">
      <c r="B15" s="112" t="s">
        <v>109</v>
      </c>
      <c r="C15" s="112"/>
      <c r="D15" s="112"/>
      <c r="E15" s="112"/>
      <c r="F15" s="112"/>
      <c r="G15" s="112"/>
      <c r="H15" s="112"/>
      <c r="I15" s="111" t="s">
        <v>108</v>
      </c>
      <c r="J15" s="111"/>
      <c r="K15" s="111"/>
      <c r="L15" s="111"/>
      <c r="M15" s="111"/>
      <c r="N15" s="111"/>
      <c r="O15" s="111"/>
      <c r="P15" s="47"/>
      <c r="Q15" s="47"/>
    </row>
    <row r="16" spans="2:17" s="1" customFormat="1" ht="3.65" customHeight="1" x14ac:dyDescent="0.35">
      <c r="P16" s="47"/>
      <c r="Q16" s="47"/>
    </row>
    <row r="17" spans="2:24" s="1" customFormat="1" ht="47.15" customHeight="1" x14ac:dyDescent="0.35">
      <c r="B17" s="103" t="s">
        <v>16</v>
      </c>
      <c r="C17" s="103"/>
      <c r="D17" s="103"/>
      <c r="E17" s="103"/>
      <c r="F17" s="103" t="s">
        <v>99</v>
      </c>
      <c r="G17" s="103"/>
      <c r="H17" s="103"/>
      <c r="I17" s="103" t="s">
        <v>98</v>
      </c>
      <c r="J17" s="103"/>
      <c r="K17" s="103" t="s">
        <v>57</v>
      </c>
      <c r="L17" s="103"/>
      <c r="M17" s="103" t="s">
        <v>103</v>
      </c>
      <c r="N17" s="103"/>
      <c r="O17" s="103"/>
      <c r="P17" s="47"/>
      <c r="Q17" s="47"/>
      <c r="S17" s="48"/>
    </row>
    <row r="18" spans="2:24" s="44" customFormat="1" ht="42.65" customHeight="1" x14ac:dyDescent="0.35">
      <c r="B18" s="97" t="str">
        <f>'Self-Assessment Form(A)'!B30:P30</f>
        <v xml:space="preserve">Target 1 : Learn how to implement scalable architecture using Angular modules, components, and services </v>
      </c>
      <c r="C18" s="98"/>
      <c r="D18" s="98"/>
      <c r="E18" s="99"/>
      <c r="F18" s="93"/>
      <c r="G18" s="94"/>
      <c r="H18" s="95"/>
      <c r="I18" s="93"/>
      <c r="J18" s="95"/>
      <c r="K18" s="93">
        <f>(F18-I18) *G11</f>
        <v>0</v>
      </c>
      <c r="L18" s="95"/>
      <c r="M18" s="100" t="e">
        <f>(K18-P11)/P11</f>
        <v>#DIV/0!</v>
      </c>
      <c r="N18" s="101"/>
      <c r="O18" s="102"/>
      <c r="V18" s="1"/>
      <c r="W18" s="1"/>
      <c r="X18" s="1"/>
    </row>
    <row r="19" spans="2:24" s="1" customFormat="1" ht="41.5" customHeight="1" x14ac:dyDescent="0.35">
      <c r="B19" s="97" t="str">
        <f>'Self-Assessment Form(A)'!B31:P31</f>
        <v xml:space="preserve">Target 2 :Start Learning and Implementing with Components (building blocks of Angular apps), Templates (HTML with Angular syntax), and Data Binding,Then learn DirectivesServices &amp; Dependency Injection, Next, understand Routing, explore Pipes </v>
      </c>
      <c r="C19" s="98"/>
      <c r="D19" s="98"/>
      <c r="E19" s="99"/>
      <c r="F19" s="93"/>
      <c r="G19" s="94"/>
      <c r="H19" s="95"/>
      <c r="I19" s="93"/>
      <c r="J19" s="95"/>
      <c r="K19" s="93">
        <f>(F19-I19) *G11</f>
        <v>0</v>
      </c>
      <c r="L19" s="95"/>
      <c r="M19" s="100" t="e">
        <f>(K19-P11)/P11</f>
        <v>#DIV/0!</v>
      </c>
      <c r="N19" s="101"/>
      <c r="O19" s="102"/>
      <c r="P19" s="45"/>
    </row>
    <row r="20" spans="2:24" s="1" customFormat="1" ht="49" customHeight="1" x14ac:dyDescent="0.35">
      <c r="B20" s="97" t="str">
        <f>'Self-Assessment Form(A)'!B32:P32</f>
        <v>Target 3 : Understand and implement Angular core concepts including Components, Data Binding, Directives, Services, Routing, Forms, HTTP Client, and RxJS.</v>
      </c>
      <c r="C20" s="98"/>
      <c r="D20" s="98"/>
      <c r="E20" s="99"/>
      <c r="F20" s="93"/>
      <c r="G20" s="94"/>
      <c r="H20" s="95"/>
      <c r="I20" s="93"/>
      <c r="J20" s="95"/>
      <c r="K20" s="93">
        <f>(F20-I20) *G11</f>
        <v>0</v>
      </c>
      <c r="L20" s="95"/>
      <c r="M20" s="100" t="e">
        <f>(K20-P11)/P11</f>
        <v>#DIV/0!</v>
      </c>
      <c r="N20" s="101"/>
      <c r="O20" s="102"/>
    </row>
    <row r="21" spans="2:24" s="1" customFormat="1" x14ac:dyDescent="0.35">
      <c r="B21" s="37"/>
      <c r="E21" s="50" t="s">
        <v>101</v>
      </c>
      <c r="N21" s="45"/>
      <c r="P21" s="46"/>
    </row>
    <row r="22" spans="2:24" s="1" customFormat="1" x14ac:dyDescent="0.35"/>
    <row r="23" spans="2:24" s="1" customFormat="1" x14ac:dyDescent="0.35"/>
    <row r="24" spans="2:24" s="1" customFormat="1" ht="19" customHeight="1" x14ac:dyDescent="0.35">
      <c r="M24" s="90" t="s">
        <v>64</v>
      </c>
      <c r="N24" s="90"/>
      <c r="O24" s="29"/>
      <c r="R24" s="29"/>
    </row>
    <row r="25" spans="2:24" s="1" customFormat="1" ht="19" customHeight="1" x14ac:dyDescent="0.35">
      <c r="J25" s="45"/>
    </row>
    <row r="26" spans="2:24" s="1" customFormat="1" ht="60.65" customHeight="1" x14ac:dyDescent="0.35">
      <c r="C26" s="104" t="s">
        <v>106</v>
      </c>
      <c r="D26" s="105"/>
      <c r="E26" s="105"/>
      <c r="F26" s="105"/>
      <c r="G26" s="105"/>
      <c r="H26" s="105"/>
      <c r="I26" s="105"/>
      <c r="J26" s="105"/>
      <c r="K26" s="105"/>
      <c r="L26" s="105"/>
      <c r="M26" s="105"/>
      <c r="N26" s="105"/>
      <c r="O26" s="105"/>
    </row>
    <row r="27" spans="2:24" s="1" customFormat="1" hidden="1" x14ac:dyDescent="0.35"/>
    <row r="28" spans="2:24" s="1" customFormat="1" hidden="1" x14ac:dyDescent="0.35"/>
    <row r="29" spans="2:24" s="1" customFormat="1" hidden="1" x14ac:dyDescent="0.35"/>
    <row r="30" spans="2:24" s="1" customFormat="1" hidden="1" x14ac:dyDescent="0.35"/>
    <row r="31" spans="2:24" s="1" customFormat="1" hidden="1" x14ac:dyDescent="0.35"/>
    <row r="32" spans="2:24" s="1" customFormat="1" hidden="1" x14ac:dyDescent="0.35"/>
    <row r="33" s="1" customFormat="1" hidden="1" x14ac:dyDescent="0.35"/>
    <row r="34" s="1" customFormat="1" hidden="1" x14ac:dyDescent="0.35"/>
    <row r="35" s="1" customFormat="1" hidden="1" x14ac:dyDescent="0.35"/>
    <row r="36" x14ac:dyDescent="0.35"/>
  </sheetData>
  <mergeCells count="39">
    <mergeCell ref="B15:H15"/>
    <mergeCell ref="F5:M5"/>
    <mergeCell ref="B13:F13"/>
    <mergeCell ref="G13:J13"/>
    <mergeCell ref="K13:O13"/>
    <mergeCell ref="E7:F7"/>
    <mergeCell ref="G7:H7"/>
    <mergeCell ref="I7:J7"/>
    <mergeCell ref="J9:P9"/>
    <mergeCell ref="C26:O26"/>
    <mergeCell ref="M24:N24"/>
    <mergeCell ref="M17:O17"/>
    <mergeCell ref="E1:N2"/>
    <mergeCell ref="G3:L3"/>
    <mergeCell ref="K7:L7"/>
    <mergeCell ref="M7:N7"/>
    <mergeCell ref="M18:O18"/>
    <mergeCell ref="K11:O11"/>
    <mergeCell ref="G11:J11"/>
    <mergeCell ref="B11:F11"/>
    <mergeCell ref="B17:E17"/>
    <mergeCell ref="F17:H17"/>
    <mergeCell ref="I17:J17"/>
    <mergeCell ref="B18:E18"/>
    <mergeCell ref="I15:O15"/>
    <mergeCell ref="F18:H18"/>
    <mergeCell ref="I18:J18"/>
    <mergeCell ref="K18:L18"/>
    <mergeCell ref="K17:L17"/>
    <mergeCell ref="B19:E19"/>
    <mergeCell ref="F19:H19"/>
    <mergeCell ref="I19:J19"/>
    <mergeCell ref="K19:L19"/>
    <mergeCell ref="B20:E20"/>
    <mergeCell ref="F20:H20"/>
    <mergeCell ref="I20:J20"/>
    <mergeCell ref="K20:L20"/>
    <mergeCell ref="M19:O19"/>
    <mergeCell ref="M20:O20"/>
  </mergeCells>
  <hyperlinks>
    <hyperlink ref="M24" location="'Learning(C)'!A1" display="►LEARNING" xr:uid="{4665205E-C129-4F83-8A9E-E3428A7D2A75}"/>
  </hyperlinks>
  <pageMargins left="0.7" right="0.7" top="0.75" bottom="0.75" header="0.3" footer="0.3"/>
  <pageSetup scale="46"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InfoPath Form Template" ma:contentTypeID="0x010100F8EF98760CBA4A94994F13BA881038FA007ECF3EFC644AB84284899C44E55805B9" ma:contentTypeVersion="1" ma:contentTypeDescription="A Microsoft InfoPath Form Template." ma:contentTypeScope="" ma:versionID="8a21ae509461e051da4541d002d91c88">
  <xsd:schema xmlns:xsd="http://www.w3.org/2001/XMLSchema" xmlns:xs="http://www.w3.org/2001/XMLSchema" xmlns:p="http://schemas.microsoft.com/office/2006/metadata/properties" xmlns:ns2="0ce022e8-4ecf-497f-b484-c73444ec20f4" xmlns:ns3="60ff39b3-e073-46de-a95b-ec68c24ccd3e" targetNamespace="http://schemas.microsoft.com/office/2006/metadata/properties" ma:root="true" ma:fieldsID="3daddbd144a1fcfa1743c17fa7e22748" ns2:_="" ns3:_="">
    <xsd:import namespace="0ce022e8-4ecf-497f-b484-c73444ec20f4"/>
    <xsd:import namespace="60ff39b3-e073-46de-a95b-ec68c24ccd3e"/>
    <xsd:element name="properties">
      <xsd:complexType>
        <xsd:sequence>
          <xsd:element name="documentManagement">
            <xsd:complexType>
              <xsd:all>
                <xsd:element ref="ns2:FormName" minOccurs="0"/>
                <xsd:element ref="ns2:FormCategory" minOccurs="0"/>
                <xsd:element ref="ns2:FormVersion" minOccurs="0"/>
                <xsd:element ref="ns2:FormId" minOccurs="0"/>
                <xsd:element ref="ns2:FormLocale" minOccurs="0"/>
                <xsd:element ref="ns2:FormDescription" minOccurs="0"/>
                <xsd:element ref="ns2:CustomContentTypeId" minOccurs="0"/>
                <xsd:element ref="ns2:ShowInCatalog"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022e8-4ecf-497f-b484-c73444ec20f4" elementFormDefault="qualified">
    <xsd:import namespace="http://schemas.microsoft.com/office/2006/documentManagement/types"/>
    <xsd:import namespace="http://schemas.microsoft.com/office/infopath/2007/PartnerControls"/>
    <xsd:element name="FormName" ma:index="8" nillable="true" ma:displayName="Form Name" ma:internalName="FormName">
      <xsd:simpleType>
        <xsd:restriction base="dms:Text"/>
      </xsd:simpleType>
    </xsd:element>
    <xsd:element name="FormCategory" ma:index="9" nillable="true" ma:displayName="Form Category" ma:internalName="FormCategory">
      <xsd:simpleType>
        <xsd:restriction base="dms:Text"/>
      </xsd:simpleType>
    </xsd:element>
    <xsd:element name="FormVersion" ma:index="10" nillable="true" ma:displayName="Form Version" ma:internalName="FormVersion">
      <xsd:simpleType>
        <xsd:restriction base="dms:Text"/>
      </xsd:simpleType>
    </xsd:element>
    <xsd:element name="FormId" ma:index="11" nillable="true" ma:displayName="Form ID" ma:internalName="FormId">
      <xsd:simpleType>
        <xsd:restriction base="dms:Text"/>
      </xsd:simpleType>
    </xsd:element>
    <xsd:element name="FormLocale" ma:index="12" nillable="true" ma:displayName="Form Locale" ma:internalName="FormLocale">
      <xsd:simpleType>
        <xsd:restriction base="dms:Text"/>
      </xsd:simpleType>
    </xsd:element>
    <xsd:element name="FormDescription" ma:index="13" nillable="true" ma:displayName="Form Description" ma:internalName="FormDescription">
      <xsd:simpleType>
        <xsd:restriction base="dms:Text"/>
      </xsd:simpleType>
    </xsd:element>
    <xsd:element name="CustomContentTypeId" ma:index="14" nillable="true" ma:displayName="Content Type ID" ma:hidden="true" ma:internalName="CustomContentTypeId">
      <xsd:simpleType>
        <xsd:restriction base="dms:Text"/>
      </xsd:simpleType>
    </xsd:element>
    <xsd:element name="ShowInCatalog" ma:index="15" nillable="true" ma:displayName="Show in Catalog" ma:default="TRUE" ma:internalName="ShowInCatalog">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0ff39b3-e073-46de-a95b-ec68c24ccd3e" elementFormDefault="qualified">
    <xsd:import namespace="http://schemas.microsoft.com/office/2006/documentManagement/types"/>
    <xsd:import namespace="http://schemas.microsoft.com/office/infopath/2007/PartnerControls"/>
    <xsd:element name="_dlc_DocId" ma:index="17" nillable="true" ma:displayName="Document ID Value" ma:description="The value of the document ID assigned to this item." ma:internalName="_dlc_DocId" ma:readOnly="true">
      <xsd:simpleType>
        <xsd:restriction base="dms:Text"/>
      </xsd:simpleType>
    </xsd:element>
    <xsd:element name="_dlc_DocIdUrl" ma:index="1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FormCategory xmlns="0ce022e8-4ecf-497f-b484-c73444ec20f4" xsi:nil="true"/>
    <_dlc_DocId xmlns="60ff39b3-e073-46de-a95b-ec68c24ccd3e">KVFEW4SWURWF-329277909-10</_dlc_DocId>
    <FormVersion xmlns="0ce022e8-4ecf-497f-b484-c73444ec20f4" xsi:nil="true"/>
    <FormLocale xmlns="0ce022e8-4ecf-497f-b484-c73444ec20f4" xsi:nil="true"/>
    <FormName xmlns="0ce022e8-4ecf-497f-b484-c73444ec20f4" xsi:nil="true"/>
    <FormDescription xmlns="0ce022e8-4ecf-497f-b484-c73444ec20f4" xsi:nil="true"/>
    <CustomContentTypeId xmlns="0ce022e8-4ecf-497f-b484-c73444ec20f4" xsi:nil="true"/>
    <ShowInCatalog xmlns="0ce022e8-4ecf-497f-b484-c73444ec20f4">false</ShowInCatalog>
    <FormId xmlns="0ce022e8-4ecf-497f-b484-c73444ec20f4" xsi:nil="true"/>
    <_dlc_DocIdUrl xmlns="60ff39b3-e073-46de-a95b-ec68c24ccd3e">
      <Url>https://clintune.sharepoint.com/teams/India/_layouts/15/DocIdRedir.aspx?ID=KVFEW4SWURWF-329277909-10</Url>
      <Description>KVFEW4SWURWF-329277909-10</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8A3FD7-9A26-44A0-ABCA-C4CCA12FCFC6}">
  <ds:schemaRefs>
    <ds:schemaRef ds:uri="http://schemas.microsoft.com/sharepoint/events"/>
  </ds:schemaRefs>
</ds:datastoreItem>
</file>

<file path=customXml/itemProps2.xml><?xml version="1.0" encoding="utf-8"?>
<ds:datastoreItem xmlns:ds="http://schemas.openxmlformats.org/officeDocument/2006/customXml" ds:itemID="{987D971B-3152-47DC-A5C5-32A47BEDBB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022e8-4ecf-497f-b484-c73444ec20f4"/>
    <ds:schemaRef ds:uri="60ff39b3-e073-46de-a95b-ec68c24ccd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61570B-7666-46D2-8AF1-2F0232DC421B}">
  <ds:schemaRefs>
    <ds:schemaRef ds:uri="http://schemas.microsoft.com/office/2006/metadata/properties"/>
    <ds:schemaRef ds:uri="http://schemas.microsoft.com/office/infopath/2007/PartnerControls"/>
    <ds:schemaRef ds:uri="0ce022e8-4ecf-497f-b484-c73444ec20f4"/>
    <ds:schemaRef ds:uri="60ff39b3-e073-46de-a95b-ec68c24ccd3e"/>
  </ds:schemaRefs>
</ds:datastoreItem>
</file>

<file path=customXml/itemProps4.xml><?xml version="1.0" encoding="utf-8"?>
<ds:datastoreItem xmlns:ds="http://schemas.openxmlformats.org/officeDocument/2006/customXml" ds:itemID="{3E68796C-A12C-4BE6-B294-313105B379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Self-Assessment Form(A)</vt:lpstr>
      <vt:lpstr>Reaction(B)</vt:lpstr>
      <vt:lpstr>Learning(C)</vt:lpstr>
      <vt:lpstr>Retention(D)</vt:lpstr>
      <vt:lpstr>Implementation(E)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Raj</dc:creator>
  <cp:lastModifiedBy>Swapna R</cp:lastModifiedBy>
  <cp:lastPrinted>2018-12-28T09:30:22Z</cp:lastPrinted>
  <dcterms:created xsi:type="dcterms:W3CDTF">2018-12-19T09:58:29Z</dcterms:created>
  <dcterms:modified xsi:type="dcterms:W3CDTF">2026-03-18T05:51:51Z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0x010100F8EF98760CBA4A94994F13BA881038FA007ECF3EFC644AB84284899C44E55805B9</vt:lpwstr>
  </property>
  <property fmtid="{D5CDD505-2E9C-101B-9397-08002B2CF9AE}" pid="3" name="_dlc_DocIdItemGuid">
    <vt:lpwstr>37661e0f-7fa8-49ea-b503-ad14e78aaa70</vt:lpwstr>
  </property>
</Properties>
</file>